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a0-my.sharepoint.com/personal/wyatt_harris_afacademy_af_edu/Documents/Wyatt/ASTRO 331/_2025-Fall/04 - Labs/Lab 6 - Attitude Determination/2025-09-29 Instructor Data/"/>
    </mc:Choice>
  </mc:AlternateContent>
  <xr:revisionPtr revIDLastSave="2" documentId="8_{A9CF11A0-7525-484A-A4A9-9AD1520AA64A}" xr6:coauthVersionLast="47" xr6:coauthVersionMax="47" xr10:uidLastSave="{99ACD029-2513-43A0-A8BA-3EBD8545CD7E}"/>
  <bookViews>
    <workbookView xWindow="-120" yWindow="-120" windowWidth="29040" windowHeight="15720" xr2:uid="{ABB3397C-CC4E-4574-8735-C3BA768D5EAD}"/>
  </bookViews>
  <sheets>
    <sheet name="data_Lab6_2025-09-29_1320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2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" i="1"/>
  <c r="U4" i="1"/>
  <c r="O6" i="1" s="1"/>
  <c r="U3" i="1"/>
  <c r="N11" i="1" s="1"/>
  <c r="O214" i="1" l="1"/>
  <c r="O162" i="1"/>
  <c r="O312" i="1"/>
  <c r="O250" i="1"/>
  <c r="O145" i="1"/>
  <c r="O83" i="1"/>
  <c r="O265" i="1"/>
  <c r="O264" i="1"/>
  <c r="O306" i="1"/>
  <c r="O246" i="1"/>
  <c r="O144" i="1"/>
  <c r="O226" i="1"/>
  <c r="O284" i="1"/>
  <c r="O169" i="1"/>
  <c r="O313" i="1"/>
  <c r="O300" i="1"/>
  <c r="O241" i="1"/>
  <c r="O132" i="1"/>
  <c r="O299" i="1"/>
  <c r="O298" i="1"/>
  <c r="O222" i="1"/>
  <c r="O90" i="1"/>
  <c r="O286" i="1"/>
  <c r="O217" i="1"/>
  <c r="O84" i="1"/>
  <c r="O283" i="1"/>
  <c r="O198" i="1"/>
  <c r="O60" i="1"/>
  <c r="O277" i="1"/>
  <c r="O190" i="1"/>
  <c r="O54" i="1"/>
  <c r="O114" i="1"/>
  <c r="Q114" i="1" s="1"/>
  <c r="R114" i="1" s="1"/>
  <c r="O270" i="1"/>
  <c r="O177" i="1"/>
  <c r="O25" i="1"/>
  <c r="O297" i="1"/>
  <c r="O263" i="1"/>
  <c r="O202" i="1"/>
  <c r="O143" i="1"/>
  <c r="O59" i="1"/>
  <c r="O296" i="1"/>
  <c r="O260" i="1"/>
  <c r="O201" i="1"/>
  <c r="O141" i="1"/>
  <c r="O57" i="1"/>
  <c r="O285" i="1"/>
  <c r="O249" i="1"/>
  <c r="O193" i="1"/>
  <c r="O119" i="1"/>
  <c r="O33" i="1"/>
  <c r="O117" i="1"/>
  <c r="O30" i="1"/>
  <c r="O310" i="1"/>
  <c r="O282" i="1"/>
  <c r="O238" i="1"/>
  <c r="O174" i="1"/>
  <c r="O109" i="1"/>
  <c r="O24" i="1"/>
  <c r="O301" i="1"/>
  <c r="O276" i="1"/>
  <c r="O225" i="1"/>
  <c r="O168" i="1"/>
  <c r="O85" i="1"/>
  <c r="O2" i="1"/>
  <c r="O262" i="1"/>
  <c r="O240" i="1"/>
  <c r="O216" i="1"/>
  <c r="O192" i="1"/>
  <c r="O167" i="1"/>
  <c r="O138" i="1"/>
  <c r="O108" i="1"/>
  <c r="O81" i="1"/>
  <c r="O49" i="1"/>
  <c r="O23" i="1"/>
  <c r="O261" i="1"/>
  <c r="O239" i="1"/>
  <c r="O215" i="1"/>
  <c r="O191" i="1"/>
  <c r="O165" i="1"/>
  <c r="O133" i="1"/>
  <c r="O107" i="1"/>
  <c r="O78" i="1"/>
  <c r="O48" i="1"/>
  <c r="O21" i="1"/>
  <c r="O105" i="1"/>
  <c r="O73" i="1"/>
  <c r="O47" i="1"/>
  <c r="O18" i="1"/>
  <c r="O311" i="1"/>
  <c r="O295" i="1"/>
  <c r="O275" i="1"/>
  <c r="O259" i="1"/>
  <c r="O237" i="1"/>
  <c r="O213" i="1"/>
  <c r="O189" i="1"/>
  <c r="O157" i="1"/>
  <c r="O131" i="1"/>
  <c r="O102" i="1"/>
  <c r="O72" i="1"/>
  <c r="O45" i="1"/>
  <c r="O13" i="1"/>
  <c r="O258" i="1"/>
  <c r="O156" i="1"/>
  <c r="O12" i="1"/>
  <c r="O309" i="1"/>
  <c r="O289" i="1"/>
  <c r="O273" i="1"/>
  <c r="O253" i="1"/>
  <c r="O229" i="1"/>
  <c r="O205" i="1"/>
  <c r="O181" i="1"/>
  <c r="O155" i="1"/>
  <c r="O126" i="1"/>
  <c r="O96" i="1"/>
  <c r="O69" i="1"/>
  <c r="O37" i="1"/>
  <c r="O11" i="1"/>
  <c r="Q11" i="1" s="1"/>
  <c r="R11" i="1" s="1"/>
  <c r="O274" i="1"/>
  <c r="O210" i="1"/>
  <c r="O129" i="1"/>
  <c r="O42" i="1"/>
  <c r="O308" i="1"/>
  <c r="O288" i="1"/>
  <c r="O272" i="1"/>
  <c r="O252" i="1"/>
  <c r="O228" i="1"/>
  <c r="O204" i="1"/>
  <c r="O180" i="1"/>
  <c r="O153" i="1"/>
  <c r="O121" i="1"/>
  <c r="O95" i="1"/>
  <c r="O66" i="1"/>
  <c r="O36" i="1"/>
  <c r="O9" i="1"/>
  <c r="O294" i="1"/>
  <c r="O234" i="1"/>
  <c r="O186" i="1"/>
  <c r="O97" i="1"/>
  <c r="O71" i="1"/>
  <c r="O307" i="1"/>
  <c r="O287" i="1"/>
  <c r="O271" i="1"/>
  <c r="O251" i="1"/>
  <c r="O227" i="1"/>
  <c r="O203" i="1"/>
  <c r="O179" i="1"/>
  <c r="O150" i="1"/>
  <c r="O120" i="1"/>
  <c r="O93" i="1"/>
  <c r="O61" i="1"/>
  <c r="O35" i="1"/>
  <c r="O178" i="1"/>
  <c r="O166" i="1"/>
  <c r="O154" i="1"/>
  <c r="O142" i="1"/>
  <c r="O130" i="1"/>
  <c r="O118" i="1"/>
  <c r="O106" i="1"/>
  <c r="O94" i="1"/>
  <c r="O82" i="1"/>
  <c r="O70" i="1"/>
  <c r="O58" i="1"/>
  <c r="O46" i="1"/>
  <c r="O34" i="1"/>
  <c r="O22" i="1"/>
  <c r="O10" i="1"/>
  <c r="O248" i="1"/>
  <c r="O236" i="1"/>
  <c r="O224" i="1"/>
  <c r="O212" i="1"/>
  <c r="O200" i="1"/>
  <c r="O188" i="1"/>
  <c r="O176" i="1"/>
  <c r="O164" i="1"/>
  <c r="O152" i="1"/>
  <c r="O140" i="1"/>
  <c r="O128" i="1"/>
  <c r="Q128" i="1" s="1"/>
  <c r="R128" i="1" s="1"/>
  <c r="O116" i="1"/>
  <c r="O104" i="1"/>
  <c r="O92" i="1"/>
  <c r="O80" i="1"/>
  <c r="O68" i="1"/>
  <c r="O56" i="1"/>
  <c r="O44" i="1"/>
  <c r="O32" i="1"/>
  <c r="O20" i="1"/>
  <c r="O8" i="1"/>
  <c r="O247" i="1"/>
  <c r="O235" i="1"/>
  <c r="Q235" i="1" s="1"/>
  <c r="R235" i="1" s="1"/>
  <c r="O223" i="1"/>
  <c r="O211" i="1"/>
  <c r="O199" i="1"/>
  <c r="O187" i="1"/>
  <c r="O175" i="1"/>
  <c r="O163" i="1"/>
  <c r="O151" i="1"/>
  <c r="O139" i="1"/>
  <c r="O127" i="1"/>
  <c r="O115" i="1"/>
  <c r="O103" i="1"/>
  <c r="O91" i="1"/>
  <c r="Q91" i="1" s="1"/>
  <c r="R91" i="1" s="1"/>
  <c r="O79" i="1"/>
  <c r="O67" i="1"/>
  <c r="O55" i="1"/>
  <c r="O43" i="1"/>
  <c r="O31" i="1"/>
  <c r="O19" i="1"/>
  <c r="O7" i="1"/>
  <c r="O305" i="1"/>
  <c r="O293" i="1"/>
  <c r="O281" i="1"/>
  <c r="O269" i="1"/>
  <c r="O257" i="1"/>
  <c r="O245" i="1"/>
  <c r="O233" i="1"/>
  <c r="O221" i="1"/>
  <c r="O209" i="1"/>
  <c r="O197" i="1"/>
  <c r="O185" i="1"/>
  <c r="O173" i="1"/>
  <c r="O161" i="1"/>
  <c r="O149" i="1"/>
  <c r="O137" i="1"/>
  <c r="O125" i="1"/>
  <c r="O113" i="1"/>
  <c r="O101" i="1"/>
  <c r="O89" i="1"/>
  <c r="O77" i="1"/>
  <c r="O65" i="1"/>
  <c r="O53" i="1"/>
  <c r="O41" i="1"/>
  <c r="O29" i="1"/>
  <c r="O17" i="1"/>
  <c r="O5" i="1"/>
  <c r="O316" i="1"/>
  <c r="O304" i="1"/>
  <c r="O292" i="1"/>
  <c r="Q292" i="1" s="1"/>
  <c r="R292" i="1" s="1"/>
  <c r="O280" i="1"/>
  <c r="O268" i="1"/>
  <c r="O256" i="1"/>
  <c r="O244" i="1"/>
  <c r="O232" i="1"/>
  <c r="O220" i="1"/>
  <c r="O208" i="1"/>
  <c r="O196" i="1"/>
  <c r="O184" i="1"/>
  <c r="O172" i="1"/>
  <c r="O160" i="1"/>
  <c r="O148" i="1"/>
  <c r="Q148" i="1" s="1"/>
  <c r="R148" i="1" s="1"/>
  <c r="O136" i="1"/>
  <c r="O124" i="1"/>
  <c r="O112" i="1"/>
  <c r="O100" i="1"/>
  <c r="O88" i="1"/>
  <c r="O76" i="1"/>
  <c r="O64" i="1"/>
  <c r="O52" i="1"/>
  <c r="O40" i="1"/>
  <c r="O28" i="1"/>
  <c r="O16" i="1"/>
  <c r="O4" i="1"/>
  <c r="Q4" i="1" s="1"/>
  <c r="R4" i="1" s="1"/>
  <c r="O315" i="1"/>
  <c r="O303" i="1"/>
  <c r="O291" i="1"/>
  <c r="O279" i="1"/>
  <c r="O267" i="1"/>
  <c r="O255" i="1"/>
  <c r="O243" i="1"/>
  <c r="O231" i="1"/>
  <c r="O219" i="1"/>
  <c r="O207" i="1"/>
  <c r="O195" i="1"/>
  <c r="O183" i="1"/>
  <c r="Q183" i="1" s="1"/>
  <c r="R183" i="1" s="1"/>
  <c r="O171" i="1"/>
  <c r="O159" i="1"/>
  <c r="O147" i="1"/>
  <c r="O135" i="1"/>
  <c r="O123" i="1"/>
  <c r="O111" i="1"/>
  <c r="O99" i="1"/>
  <c r="O87" i="1"/>
  <c r="O75" i="1"/>
  <c r="O63" i="1"/>
  <c r="O51" i="1"/>
  <c r="O39" i="1"/>
  <c r="Q39" i="1" s="1"/>
  <c r="R39" i="1" s="1"/>
  <c r="O27" i="1"/>
  <c r="O15" i="1"/>
  <c r="O3" i="1"/>
  <c r="O314" i="1"/>
  <c r="O302" i="1"/>
  <c r="O290" i="1"/>
  <c r="O278" i="1"/>
  <c r="O266" i="1"/>
  <c r="O254" i="1"/>
  <c r="O242" i="1"/>
  <c r="O230" i="1"/>
  <c r="O218" i="1"/>
  <c r="Q218" i="1" s="1"/>
  <c r="R218" i="1" s="1"/>
  <c r="O206" i="1"/>
  <c r="O194" i="1"/>
  <c r="O182" i="1"/>
  <c r="O170" i="1"/>
  <c r="O158" i="1"/>
  <c r="O146" i="1"/>
  <c r="O134" i="1"/>
  <c r="O122" i="1"/>
  <c r="O110" i="1"/>
  <c r="O98" i="1"/>
  <c r="O86" i="1"/>
  <c r="O74" i="1"/>
  <c r="Q74" i="1" s="1"/>
  <c r="R74" i="1" s="1"/>
  <c r="O62" i="1"/>
  <c r="O50" i="1"/>
  <c r="O38" i="1"/>
  <c r="O26" i="1"/>
  <c r="O14" i="1"/>
  <c r="N151" i="1"/>
  <c r="N238" i="1"/>
  <c r="N142" i="1"/>
  <c r="N34" i="1"/>
  <c r="N199" i="1"/>
  <c r="N286" i="1"/>
  <c r="Q286" i="1" s="1"/>
  <c r="R286" i="1" s="1"/>
  <c r="N190" i="1"/>
  <c r="Q190" i="1" s="1"/>
  <c r="R190" i="1" s="1"/>
  <c r="N94" i="1"/>
  <c r="N285" i="1"/>
  <c r="N237" i="1"/>
  <c r="N189" i="1"/>
  <c r="N141" i="1"/>
  <c r="N93" i="1"/>
  <c r="N33" i="1"/>
  <c r="N22" i="1"/>
  <c r="N274" i="1"/>
  <c r="N226" i="1"/>
  <c r="N178" i="1"/>
  <c r="N130" i="1"/>
  <c r="N82" i="1"/>
  <c r="N21" i="1"/>
  <c r="N45" i="1"/>
  <c r="N283" i="1"/>
  <c r="Q283" i="1" s="1"/>
  <c r="R283" i="1" s="1"/>
  <c r="N10" i="1"/>
  <c r="N235" i="1"/>
  <c r="N225" i="1"/>
  <c r="N271" i="1"/>
  <c r="N223" i="1"/>
  <c r="N175" i="1"/>
  <c r="N127" i="1"/>
  <c r="N70" i="1"/>
  <c r="N9" i="1"/>
  <c r="N295" i="1"/>
  <c r="N187" i="1"/>
  <c r="N129" i="1"/>
  <c r="N310" i="1"/>
  <c r="N262" i="1"/>
  <c r="N214" i="1"/>
  <c r="Q214" i="1" s="1"/>
  <c r="R214" i="1" s="1"/>
  <c r="N166" i="1"/>
  <c r="N118" i="1"/>
  <c r="N69" i="1"/>
  <c r="N7" i="1"/>
  <c r="N103" i="1"/>
  <c r="N91" i="1"/>
  <c r="N177" i="1"/>
  <c r="Q177" i="1" s="1"/>
  <c r="R177" i="1" s="1"/>
  <c r="N309" i="1"/>
  <c r="N261" i="1"/>
  <c r="N213" i="1"/>
  <c r="N165" i="1"/>
  <c r="N117" i="1"/>
  <c r="N58" i="1"/>
  <c r="N139" i="1"/>
  <c r="N273" i="1"/>
  <c r="N81" i="1"/>
  <c r="N307" i="1"/>
  <c r="N259" i="1"/>
  <c r="N211" i="1"/>
  <c r="N163" i="1"/>
  <c r="N115" i="1"/>
  <c r="N57" i="1"/>
  <c r="N55" i="1"/>
  <c r="N247" i="1"/>
  <c r="N298" i="1"/>
  <c r="Q298" i="1" s="1"/>
  <c r="R298" i="1" s="1"/>
  <c r="N250" i="1"/>
  <c r="Q250" i="1" s="1"/>
  <c r="R250" i="1" s="1"/>
  <c r="N202" i="1"/>
  <c r="N154" i="1"/>
  <c r="N106" i="1"/>
  <c r="N297" i="1"/>
  <c r="N249" i="1"/>
  <c r="N201" i="1"/>
  <c r="N153" i="1"/>
  <c r="N105" i="1"/>
  <c r="N46" i="1"/>
  <c r="N308" i="1"/>
  <c r="N296" i="1"/>
  <c r="N284" i="1"/>
  <c r="Q284" i="1" s="1"/>
  <c r="R284" i="1" s="1"/>
  <c r="N272" i="1"/>
  <c r="N260" i="1"/>
  <c r="N248" i="1"/>
  <c r="N236" i="1"/>
  <c r="N224" i="1"/>
  <c r="N212" i="1"/>
  <c r="N200" i="1"/>
  <c r="N188" i="1"/>
  <c r="N176" i="1"/>
  <c r="N164" i="1"/>
  <c r="N152" i="1"/>
  <c r="N140" i="1"/>
  <c r="N128" i="1"/>
  <c r="N116" i="1"/>
  <c r="N104" i="1"/>
  <c r="N92" i="1"/>
  <c r="N80" i="1"/>
  <c r="N68" i="1"/>
  <c r="N56" i="1"/>
  <c r="N44" i="1"/>
  <c r="N32" i="1"/>
  <c r="N20" i="1"/>
  <c r="N8" i="1"/>
  <c r="N306" i="1"/>
  <c r="Q306" i="1" s="1"/>
  <c r="R306" i="1" s="1"/>
  <c r="N294" i="1"/>
  <c r="N282" i="1"/>
  <c r="N270" i="1"/>
  <c r="Q270" i="1" s="1"/>
  <c r="R270" i="1" s="1"/>
  <c r="N258" i="1"/>
  <c r="N246" i="1"/>
  <c r="Q246" i="1" s="1"/>
  <c r="R246" i="1" s="1"/>
  <c r="N234" i="1"/>
  <c r="N222" i="1"/>
  <c r="Q222" i="1" s="1"/>
  <c r="R222" i="1" s="1"/>
  <c r="N210" i="1"/>
  <c r="N198" i="1"/>
  <c r="Q198" i="1" s="1"/>
  <c r="R198" i="1" s="1"/>
  <c r="N186" i="1"/>
  <c r="N174" i="1"/>
  <c r="N162" i="1"/>
  <c r="Q162" i="1" s="1"/>
  <c r="R162" i="1" s="1"/>
  <c r="N150" i="1"/>
  <c r="N138" i="1"/>
  <c r="N126" i="1"/>
  <c r="N114" i="1"/>
  <c r="N102" i="1"/>
  <c r="N90" i="1"/>
  <c r="Q90" i="1" s="1"/>
  <c r="R90" i="1" s="1"/>
  <c r="N78" i="1"/>
  <c r="N66" i="1"/>
  <c r="N54" i="1"/>
  <c r="Q54" i="1" s="1"/>
  <c r="R54" i="1" s="1"/>
  <c r="N42" i="1"/>
  <c r="N30" i="1"/>
  <c r="N18" i="1"/>
  <c r="N6" i="1"/>
  <c r="Q6" i="1" s="1"/>
  <c r="R6" i="1" s="1"/>
  <c r="N79" i="1"/>
  <c r="N305" i="1"/>
  <c r="N293" i="1"/>
  <c r="N281" i="1"/>
  <c r="N269" i="1"/>
  <c r="N257" i="1"/>
  <c r="N245" i="1"/>
  <c r="N233" i="1"/>
  <c r="N221" i="1"/>
  <c r="N209" i="1"/>
  <c r="N197" i="1"/>
  <c r="N185" i="1"/>
  <c r="N173" i="1"/>
  <c r="N161" i="1"/>
  <c r="N149" i="1"/>
  <c r="N137" i="1"/>
  <c r="N125" i="1"/>
  <c r="N113" i="1"/>
  <c r="N101" i="1"/>
  <c r="N89" i="1"/>
  <c r="N77" i="1"/>
  <c r="N65" i="1"/>
  <c r="N53" i="1"/>
  <c r="N41" i="1"/>
  <c r="N29" i="1"/>
  <c r="N17" i="1"/>
  <c r="N5" i="1"/>
  <c r="N316" i="1"/>
  <c r="N304" i="1"/>
  <c r="N292" i="1"/>
  <c r="N280" i="1"/>
  <c r="N268" i="1"/>
  <c r="N256" i="1"/>
  <c r="N244" i="1"/>
  <c r="N232" i="1"/>
  <c r="N220" i="1"/>
  <c r="N208" i="1"/>
  <c r="N196" i="1"/>
  <c r="N184" i="1"/>
  <c r="N172" i="1"/>
  <c r="N160" i="1"/>
  <c r="N148" i="1"/>
  <c r="N136" i="1"/>
  <c r="N124" i="1"/>
  <c r="N112" i="1"/>
  <c r="N100" i="1"/>
  <c r="N88" i="1"/>
  <c r="N76" i="1"/>
  <c r="N64" i="1"/>
  <c r="N52" i="1"/>
  <c r="N40" i="1"/>
  <c r="N28" i="1"/>
  <c r="N16" i="1"/>
  <c r="N4" i="1"/>
  <c r="N31" i="1"/>
  <c r="N315" i="1"/>
  <c r="N303" i="1"/>
  <c r="N291" i="1"/>
  <c r="N279" i="1"/>
  <c r="N267" i="1"/>
  <c r="N255" i="1"/>
  <c r="N243" i="1"/>
  <c r="N231" i="1"/>
  <c r="N219" i="1"/>
  <c r="N207" i="1"/>
  <c r="N195" i="1"/>
  <c r="N183" i="1"/>
  <c r="N171" i="1"/>
  <c r="N159" i="1"/>
  <c r="N147" i="1"/>
  <c r="N135" i="1"/>
  <c r="N123" i="1"/>
  <c r="N111" i="1"/>
  <c r="N99" i="1"/>
  <c r="N87" i="1"/>
  <c r="N75" i="1"/>
  <c r="N63" i="1"/>
  <c r="N51" i="1"/>
  <c r="N39" i="1"/>
  <c r="N27" i="1"/>
  <c r="N15" i="1"/>
  <c r="N3" i="1"/>
  <c r="N314" i="1"/>
  <c r="N302" i="1"/>
  <c r="N290" i="1"/>
  <c r="N278" i="1"/>
  <c r="N266" i="1"/>
  <c r="N254" i="1"/>
  <c r="N242" i="1"/>
  <c r="N230" i="1"/>
  <c r="N218" i="1"/>
  <c r="N206" i="1"/>
  <c r="N194" i="1"/>
  <c r="N182" i="1"/>
  <c r="N170" i="1"/>
  <c r="N158" i="1"/>
  <c r="N146" i="1"/>
  <c r="N134" i="1"/>
  <c r="N122" i="1"/>
  <c r="N110" i="1"/>
  <c r="N98" i="1"/>
  <c r="N86" i="1"/>
  <c r="N74" i="1"/>
  <c r="N62" i="1"/>
  <c r="N50" i="1"/>
  <c r="N38" i="1"/>
  <c r="N26" i="1"/>
  <c r="N14" i="1"/>
  <c r="N2" i="1"/>
  <c r="N19" i="1"/>
  <c r="N313" i="1"/>
  <c r="Q313" i="1" s="1"/>
  <c r="R313" i="1" s="1"/>
  <c r="N301" i="1"/>
  <c r="N289" i="1"/>
  <c r="N277" i="1"/>
  <c r="Q277" i="1" s="1"/>
  <c r="R277" i="1" s="1"/>
  <c r="N265" i="1"/>
  <c r="Q265" i="1" s="1"/>
  <c r="R265" i="1" s="1"/>
  <c r="N253" i="1"/>
  <c r="N241" i="1"/>
  <c r="Q241" i="1" s="1"/>
  <c r="R241" i="1" s="1"/>
  <c r="N229" i="1"/>
  <c r="N217" i="1"/>
  <c r="Q217" i="1" s="1"/>
  <c r="R217" i="1" s="1"/>
  <c r="N205" i="1"/>
  <c r="N193" i="1"/>
  <c r="N181" i="1"/>
  <c r="N169" i="1"/>
  <c r="Q169" i="1" s="1"/>
  <c r="R169" i="1" s="1"/>
  <c r="N157" i="1"/>
  <c r="N145" i="1"/>
  <c r="Q145" i="1" s="1"/>
  <c r="R145" i="1" s="1"/>
  <c r="N133" i="1"/>
  <c r="N121" i="1"/>
  <c r="N109" i="1"/>
  <c r="N97" i="1"/>
  <c r="N85" i="1"/>
  <c r="N73" i="1"/>
  <c r="N61" i="1"/>
  <c r="N49" i="1"/>
  <c r="N37" i="1"/>
  <c r="N25" i="1"/>
  <c r="Q25" i="1" s="1"/>
  <c r="R25" i="1" s="1"/>
  <c r="N13" i="1"/>
  <c r="N67" i="1"/>
  <c r="N312" i="1"/>
  <c r="Q312" i="1" s="1"/>
  <c r="R312" i="1" s="1"/>
  <c r="N300" i="1"/>
  <c r="Q300" i="1" s="1"/>
  <c r="R300" i="1" s="1"/>
  <c r="N288" i="1"/>
  <c r="N276" i="1"/>
  <c r="N264" i="1"/>
  <c r="Q264" i="1" s="1"/>
  <c r="R264" i="1" s="1"/>
  <c r="N252" i="1"/>
  <c r="N240" i="1"/>
  <c r="N228" i="1"/>
  <c r="N216" i="1"/>
  <c r="N204" i="1"/>
  <c r="N192" i="1"/>
  <c r="N180" i="1"/>
  <c r="N168" i="1"/>
  <c r="N156" i="1"/>
  <c r="N144" i="1"/>
  <c r="Q144" i="1" s="1"/>
  <c r="R144" i="1" s="1"/>
  <c r="N132" i="1"/>
  <c r="Q132" i="1" s="1"/>
  <c r="R132" i="1" s="1"/>
  <c r="N120" i="1"/>
  <c r="N108" i="1"/>
  <c r="N96" i="1"/>
  <c r="N84" i="1"/>
  <c r="Q84" i="1" s="1"/>
  <c r="R84" i="1" s="1"/>
  <c r="N72" i="1"/>
  <c r="N60" i="1"/>
  <c r="Q60" i="1" s="1"/>
  <c r="R60" i="1" s="1"/>
  <c r="N48" i="1"/>
  <c r="N36" i="1"/>
  <c r="N24" i="1"/>
  <c r="N12" i="1"/>
  <c r="N43" i="1"/>
  <c r="N311" i="1"/>
  <c r="N299" i="1"/>
  <c r="Q299" i="1" s="1"/>
  <c r="R299" i="1" s="1"/>
  <c r="N287" i="1"/>
  <c r="N275" i="1"/>
  <c r="N263" i="1"/>
  <c r="N251" i="1"/>
  <c r="N239" i="1"/>
  <c r="N227" i="1"/>
  <c r="N215" i="1"/>
  <c r="N203" i="1"/>
  <c r="N191" i="1"/>
  <c r="N179" i="1"/>
  <c r="N167" i="1"/>
  <c r="N155" i="1"/>
  <c r="N143" i="1"/>
  <c r="N131" i="1"/>
  <c r="N119" i="1"/>
  <c r="N107" i="1"/>
  <c r="N95" i="1"/>
  <c r="N83" i="1"/>
  <c r="Q83" i="1" s="1"/>
  <c r="R83" i="1" s="1"/>
  <c r="N71" i="1"/>
  <c r="N59" i="1"/>
  <c r="N47" i="1"/>
  <c r="N35" i="1"/>
  <c r="N23" i="1"/>
  <c r="Q226" i="1" l="1"/>
  <c r="R226" i="1" s="1"/>
  <c r="Q50" i="1"/>
  <c r="R50" i="1" s="1"/>
  <c r="Q194" i="1"/>
  <c r="R194" i="1" s="1"/>
  <c r="Q15" i="1"/>
  <c r="R15" i="1" s="1"/>
  <c r="Q159" i="1"/>
  <c r="R159" i="1" s="1"/>
  <c r="Q303" i="1"/>
  <c r="R303" i="1" s="1"/>
  <c r="Q124" i="1"/>
  <c r="R124" i="1" s="1"/>
  <c r="Q268" i="1"/>
  <c r="R268" i="1" s="1"/>
  <c r="Q89" i="1"/>
  <c r="R89" i="1" s="1"/>
  <c r="Q233" i="1"/>
  <c r="R233" i="1" s="1"/>
  <c r="Q67" i="1"/>
  <c r="R67" i="1" s="1"/>
  <c r="Q104" i="1"/>
  <c r="R104" i="1" s="1"/>
  <c r="Q248" i="1"/>
  <c r="R248" i="1" s="1"/>
  <c r="Q142" i="1"/>
  <c r="R142" i="1" s="1"/>
  <c r="Q251" i="1"/>
  <c r="R251" i="1" s="1"/>
  <c r="Q95" i="1"/>
  <c r="R95" i="1" s="1"/>
  <c r="Q210" i="1"/>
  <c r="R210" i="1" s="1"/>
  <c r="Q273" i="1"/>
  <c r="R273" i="1" s="1"/>
  <c r="Q189" i="1"/>
  <c r="R189" i="1" s="1"/>
  <c r="Q108" i="1"/>
  <c r="R108" i="1" s="1"/>
  <c r="Q211" i="1"/>
  <c r="R211" i="1" s="1"/>
  <c r="Q301" i="1"/>
  <c r="R301" i="1" s="1"/>
  <c r="Q249" i="1"/>
  <c r="R249" i="1" s="1"/>
  <c r="Q62" i="1"/>
  <c r="R62" i="1" s="1"/>
  <c r="Q206" i="1"/>
  <c r="R206" i="1" s="1"/>
  <c r="Q27" i="1"/>
  <c r="R27" i="1" s="1"/>
  <c r="Q171" i="1"/>
  <c r="R171" i="1" s="1"/>
  <c r="Q315" i="1"/>
  <c r="R315" i="1" s="1"/>
  <c r="Q136" i="1"/>
  <c r="R136" i="1" s="1"/>
  <c r="Q280" i="1"/>
  <c r="R280" i="1" s="1"/>
  <c r="Q101" i="1"/>
  <c r="R101" i="1" s="1"/>
  <c r="Q245" i="1"/>
  <c r="R245" i="1" s="1"/>
  <c r="Q79" i="1"/>
  <c r="R79" i="1" s="1"/>
  <c r="Q223" i="1"/>
  <c r="R223" i="1" s="1"/>
  <c r="Q116" i="1"/>
  <c r="R116" i="1" s="1"/>
  <c r="Q10" i="1"/>
  <c r="R10" i="1" s="1"/>
  <c r="Q154" i="1"/>
  <c r="R154" i="1" s="1"/>
  <c r="Q271" i="1"/>
  <c r="R271" i="1" s="1"/>
  <c r="Q121" i="1"/>
  <c r="R121" i="1" s="1"/>
  <c r="Q274" i="1"/>
  <c r="R274" i="1" s="1"/>
  <c r="Q289" i="1"/>
  <c r="R289" i="1" s="1"/>
  <c r="Q213" i="1"/>
  <c r="R213" i="1" s="1"/>
  <c r="Q78" i="1"/>
  <c r="R78" i="1" s="1"/>
  <c r="Q138" i="1"/>
  <c r="R138" i="1" s="1"/>
  <c r="Q24" i="1"/>
  <c r="R24" i="1" s="1"/>
  <c r="Q285" i="1"/>
  <c r="R285" i="1" s="1"/>
  <c r="Q113" i="1"/>
  <c r="R113" i="1" s="1"/>
  <c r="Q257" i="1"/>
  <c r="R257" i="1" s="1"/>
  <c r="Q22" i="1"/>
  <c r="R22" i="1" s="1"/>
  <c r="Q166" i="1"/>
  <c r="R166" i="1" s="1"/>
  <c r="Q287" i="1"/>
  <c r="R287" i="1" s="1"/>
  <c r="Q153" i="1"/>
  <c r="R153" i="1" s="1"/>
  <c r="Q309" i="1"/>
  <c r="R309" i="1" s="1"/>
  <c r="Q237" i="1"/>
  <c r="R237" i="1" s="1"/>
  <c r="Q107" i="1"/>
  <c r="R107" i="1" s="1"/>
  <c r="Q167" i="1"/>
  <c r="R167" i="1" s="1"/>
  <c r="Q109" i="1"/>
  <c r="R109" i="1" s="1"/>
  <c r="Q57" i="1"/>
  <c r="R57" i="1" s="1"/>
  <c r="Q48" i="1"/>
  <c r="R48" i="1" s="1"/>
  <c r="Q86" i="1"/>
  <c r="R86" i="1" s="1"/>
  <c r="Q230" i="1"/>
  <c r="R230" i="1" s="1"/>
  <c r="Q51" i="1"/>
  <c r="R51" i="1" s="1"/>
  <c r="Q195" i="1"/>
  <c r="R195" i="1" s="1"/>
  <c r="Q16" i="1"/>
  <c r="R16" i="1" s="1"/>
  <c r="Q160" i="1"/>
  <c r="R160" i="1" s="1"/>
  <c r="Q304" i="1"/>
  <c r="R304" i="1" s="1"/>
  <c r="Q125" i="1"/>
  <c r="R125" i="1" s="1"/>
  <c r="Q269" i="1"/>
  <c r="R269" i="1" s="1"/>
  <c r="Q103" i="1"/>
  <c r="R103" i="1" s="1"/>
  <c r="Q247" i="1"/>
  <c r="R247" i="1" s="1"/>
  <c r="Q140" i="1"/>
  <c r="R140" i="1" s="1"/>
  <c r="Q34" i="1"/>
  <c r="R34" i="1" s="1"/>
  <c r="Q178" i="1"/>
  <c r="R178" i="1" s="1"/>
  <c r="Q307" i="1"/>
  <c r="R307" i="1" s="1"/>
  <c r="Q180" i="1"/>
  <c r="R180" i="1" s="1"/>
  <c r="Q37" i="1"/>
  <c r="R37" i="1" s="1"/>
  <c r="Q12" i="1"/>
  <c r="R12" i="1" s="1"/>
  <c r="Q259" i="1"/>
  <c r="R259" i="1" s="1"/>
  <c r="Q133" i="1"/>
  <c r="R133" i="1" s="1"/>
  <c r="Q192" i="1"/>
  <c r="R192" i="1" s="1"/>
  <c r="Q174" i="1"/>
  <c r="R174" i="1" s="1"/>
  <c r="Q141" i="1"/>
  <c r="R141" i="1" s="1"/>
  <c r="Q98" i="1"/>
  <c r="R98" i="1" s="1"/>
  <c r="Q242" i="1"/>
  <c r="R242" i="1" s="1"/>
  <c r="Q63" i="1"/>
  <c r="R63" i="1" s="1"/>
  <c r="Q207" i="1"/>
  <c r="R207" i="1" s="1"/>
  <c r="Q28" i="1"/>
  <c r="R28" i="1" s="1"/>
  <c r="Q172" i="1"/>
  <c r="R172" i="1" s="1"/>
  <c r="Q316" i="1"/>
  <c r="R316" i="1" s="1"/>
  <c r="Q137" i="1"/>
  <c r="R137" i="1" s="1"/>
  <c r="Q281" i="1"/>
  <c r="R281" i="1" s="1"/>
  <c r="Q115" i="1"/>
  <c r="R115" i="1" s="1"/>
  <c r="Q8" i="1"/>
  <c r="R8" i="1" s="1"/>
  <c r="Q152" i="1"/>
  <c r="R152" i="1" s="1"/>
  <c r="Q46" i="1"/>
  <c r="R46" i="1" s="1"/>
  <c r="Q35" i="1"/>
  <c r="R35" i="1" s="1"/>
  <c r="Q71" i="1"/>
  <c r="R71" i="1" s="1"/>
  <c r="Q204" i="1"/>
  <c r="R204" i="1" s="1"/>
  <c r="Q69" i="1"/>
  <c r="R69" i="1" s="1"/>
  <c r="Q156" i="1"/>
  <c r="R156" i="1" s="1"/>
  <c r="Q275" i="1"/>
  <c r="R275" i="1" s="1"/>
  <c r="Q165" i="1"/>
  <c r="R165" i="1" s="1"/>
  <c r="Q216" i="1"/>
  <c r="R216" i="1" s="1"/>
  <c r="Q238" i="1"/>
  <c r="R238" i="1" s="1"/>
  <c r="Q201" i="1"/>
  <c r="R201" i="1" s="1"/>
  <c r="Q110" i="1"/>
  <c r="R110" i="1" s="1"/>
  <c r="Q254" i="1"/>
  <c r="R254" i="1" s="1"/>
  <c r="Q75" i="1"/>
  <c r="R75" i="1" s="1"/>
  <c r="Q219" i="1"/>
  <c r="R219" i="1" s="1"/>
  <c r="Q40" i="1"/>
  <c r="R40" i="1" s="1"/>
  <c r="Q184" i="1"/>
  <c r="R184" i="1" s="1"/>
  <c r="Q5" i="1"/>
  <c r="R5" i="1" s="1"/>
  <c r="Q149" i="1"/>
  <c r="R149" i="1" s="1"/>
  <c r="Q293" i="1"/>
  <c r="R293" i="1" s="1"/>
  <c r="Q127" i="1"/>
  <c r="R127" i="1" s="1"/>
  <c r="Q20" i="1"/>
  <c r="R20" i="1" s="1"/>
  <c r="Q164" i="1"/>
  <c r="R164" i="1" s="1"/>
  <c r="Q58" i="1"/>
  <c r="R58" i="1" s="1"/>
  <c r="Q61" i="1"/>
  <c r="R61" i="1" s="1"/>
  <c r="Q97" i="1"/>
  <c r="R97" i="1" s="1"/>
  <c r="Q228" i="1"/>
  <c r="R228" i="1" s="1"/>
  <c r="Q96" i="1"/>
  <c r="R96" i="1" s="1"/>
  <c r="Q258" i="1"/>
  <c r="R258" i="1" s="1"/>
  <c r="Q295" i="1"/>
  <c r="R295" i="1" s="1"/>
  <c r="Q191" i="1"/>
  <c r="R191" i="1" s="1"/>
  <c r="Q240" i="1"/>
  <c r="R240" i="1" s="1"/>
  <c r="Q282" i="1"/>
  <c r="R282" i="1" s="1"/>
  <c r="Q260" i="1"/>
  <c r="R260" i="1" s="1"/>
  <c r="Q122" i="1"/>
  <c r="R122" i="1" s="1"/>
  <c r="Q266" i="1"/>
  <c r="R266" i="1" s="1"/>
  <c r="Q87" i="1"/>
  <c r="R87" i="1" s="1"/>
  <c r="Q231" i="1"/>
  <c r="R231" i="1" s="1"/>
  <c r="Q52" i="1"/>
  <c r="R52" i="1" s="1"/>
  <c r="Q196" i="1"/>
  <c r="R196" i="1" s="1"/>
  <c r="Q17" i="1"/>
  <c r="R17" i="1" s="1"/>
  <c r="Q161" i="1"/>
  <c r="R161" i="1" s="1"/>
  <c r="Q305" i="1"/>
  <c r="R305" i="1" s="1"/>
  <c r="Q139" i="1"/>
  <c r="R139" i="1" s="1"/>
  <c r="Q32" i="1"/>
  <c r="R32" i="1" s="1"/>
  <c r="Q176" i="1"/>
  <c r="R176" i="1" s="1"/>
  <c r="Q70" i="1"/>
  <c r="R70" i="1" s="1"/>
  <c r="Q93" i="1"/>
  <c r="R93" i="1" s="1"/>
  <c r="Q186" i="1"/>
  <c r="R186" i="1" s="1"/>
  <c r="Q252" i="1"/>
  <c r="R252" i="1" s="1"/>
  <c r="Q126" i="1"/>
  <c r="R126" i="1" s="1"/>
  <c r="Q13" i="1"/>
  <c r="R13" i="1" s="1"/>
  <c r="Q311" i="1"/>
  <c r="R311" i="1" s="1"/>
  <c r="Q215" i="1"/>
  <c r="R215" i="1" s="1"/>
  <c r="Q262" i="1"/>
  <c r="R262" i="1" s="1"/>
  <c r="Q310" i="1"/>
  <c r="R310" i="1" s="1"/>
  <c r="Q296" i="1"/>
  <c r="R296" i="1" s="1"/>
  <c r="Q134" i="1"/>
  <c r="R134" i="1" s="1"/>
  <c r="Q278" i="1"/>
  <c r="R278" i="1" s="1"/>
  <c r="Q99" i="1"/>
  <c r="R99" i="1" s="1"/>
  <c r="Q243" i="1"/>
  <c r="R243" i="1" s="1"/>
  <c r="Q64" i="1"/>
  <c r="R64" i="1" s="1"/>
  <c r="Q208" i="1"/>
  <c r="R208" i="1" s="1"/>
  <c r="Q29" i="1"/>
  <c r="R29" i="1" s="1"/>
  <c r="Q173" i="1"/>
  <c r="R173" i="1" s="1"/>
  <c r="Q7" i="1"/>
  <c r="R7" i="1" s="1"/>
  <c r="Q151" i="1"/>
  <c r="R151" i="1" s="1"/>
  <c r="Q44" i="1"/>
  <c r="R44" i="1" s="1"/>
  <c r="Q188" i="1"/>
  <c r="R188" i="1" s="1"/>
  <c r="Q82" i="1"/>
  <c r="R82" i="1" s="1"/>
  <c r="Q120" i="1"/>
  <c r="R120" i="1" s="1"/>
  <c r="Q234" i="1"/>
  <c r="R234" i="1" s="1"/>
  <c r="Q272" i="1"/>
  <c r="R272" i="1" s="1"/>
  <c r="Q155" i="1"/>
  <c r="R155" i="1" s="1"/>
  <c r="Q45" i="1"/>
  <c r="R45" i="1" s="1"/>
  <c r="Q18" i="1"/>
  <c r="R18" i="1" s="1"/>
  <c r="Q239" i="1"/>
  <c r="R239" i="1" s="1"/>
  <c r="Q2" i="1"/>
  <c r="R2" i="1" s="1"/>
  <c r="Q30" i="1"/>
  <c r="R30" i="1" s="1"/>
  <c r="Q59" i="1"/>
  <c r="R59" i="1" s="1"/>
  <c r="Q146" i="1"/>
  <c r="R146" i="1" s="1"/>
  <c r="Q290" i="1"/>
  <c r="R290" i="1" s="1"/>
  <c r="Q111" i="1"/>
  <c r="R111" i="1" s="1"/>
  <c r="Q255" i="1"/>
  <c r="R255" i="1" s="1"/>
  <c r="Q76" i="1"/>
  <c r="R76" i="1" s="1"/>
  <c r="Q220" i="1"/>
  <c r="R220" i="1" s="1"/>
  <c r="Q41" i="1"/>
  <c r="R41" i="1" s="1"/>
  <c r="Q185" i="1"/>
  <c r="R185" i="1" s="1"/>
  <c r="Q19" i="1"/>
  <c r="R19" i="1" s="1"/>
  <c r="Q163" i="1"/>
  <c r="R163" i="1" s="1"/>
  <c r="Q56" i="1"/>
  <c r="R56" i="1" s="1"/>
  <c r="Q200" i="1"/>
  <c r="R200" i="1" s="1"/>
  <c r="Q94" i="1"/>
  <c r="R94" i="1" s="1"/>
  <c r="Q150" i="1"/>
  <c r="R150" i="1" s="1"/>
  <c r="Q294" i="1"/>
  <c r="R294" i="1" s="1"/>
  <c r="Q288" i="1"/>
  <c r="R288" i="1" s="1"/>
  <c r="Q181" i="1"/>
  <c r="R181" i="1" s="1"/>
  <c r="Q72" i="1"/>
  <c r="R72" i="1" s="1"/>
  <c r="Q47" i="1"/>
  <c r="R47" i="1" s="1"/>
  <c r="Q261" i="1"/>
  <c r="R261" i="1" s="1"/>
  <c r="Q85" i="1"/>
  <c r="R85" i="1" s="1"/>
  <c r="Q117" i="1"/>
  <c r="R117" i="1" s="1"/>
  <c r="Q143" i="1"/>
  <c r="R143" i="1" s="1"/>
  <c r="Q14" i="1"/>
  <c r="R14" i="1" s="1"/>
  <c r="Q158" i="1"/>
  <c r="R158" i="1" s="1"/>
  <c r="Q302" i="1"/>
  <c r="R302" i="1" s="1"/>
  <c r="Q123" i="1"/>
  <c r="R123" i="1" s="1"/>
  <c r="Q267" i="1"/>
  <c r="R267" i="1" s="1"/>
  <c r="Q88" i="1"/>
  <c r="R88" i="1" s="1"/>
  <c r="Q232" i="1"/>
  <c r="R232" i="1" s="1"/>
  <c r="Q53" i="1"/>
  <c r="R53" i="1" s="1"/>
  <c r="Q197" i="1"/>
  <c r="R197" i="1" s="1"/>
  <c r="Q31" i="1"/>
  <c r="R31" i="1" s="1"/>
  <c r="Q175" i="1"/>
  <c r="R175" i="1" s="1"/>
  <c r="Q68" i="1"/>
  <c r="R68" i="1" s="1"/>
  <c r="Q212" i="1"/>
  <c r="R212" i="1" s="1"/>
  <c r="Q106" i="1"/>
  <c r="R106" i="1" s="1"/>
  <c r="Q179" i="1"/>
  <c r="R179" i="1" s="1"/>
  <c r="Q9" i="1"/>
  <c r="R9" i="1" s="1"/>
  <c r="Q308" i="1"/>
  <c r="R308" i="1" s="1"/>
  <c r="Q205" i="1"/>
  <c r="R205" i="1" s="1"/>
  <c r="Q102" i="1"/>
  <c r="R102" i="1" s="1"/>
  <c r="Q73" i="1"/>
  <c r="R73" i="1" s="1"/>
  <c r="Q23" i="1"/>
  <c r="R23" i="1" s="1"/>
  <c r="Q168" i="1"/>
  <c r="R168" i="1" s="1"/>
  <c r="Q33" i="1"/>
  <c r="R33" i="1" s="1"/>
  <c r="Q202" i="1"/>
  <c r="R202" i="1" s="1"/>
  <c r="Q26" i="1"/>
  <c r="R26" i="1" s="1"/>
  <c r="Q170" i="1"/>
  <c r="R170" i="1" s="1"/>
  <c r="Q314" i="1"/>
  <c r="R314" i="1" s="1"/>
  <c r="Q135" i="1"/>
  <c r="R135" i="1" s="1"/>
  <c r="Q279" i="1"/>
  <c r="R279" i="1" s="1"/>
  <c r="Q100" i="1"/>
  <c r="R100" i="1" s="1"/>
  <c r="Q244" i="1"/>
  <c r="R244" i="1" s="1"/>
  <c r="Q65" i="1"/>
  <c r="R65" i="1" s="1"/>
  <c r="Q209" i="1"/>
  <c r="R209" i="1" s="1"/>
  <c r="Q43" i="1"/>
  <c r="R43" i="1" s="1"/>
  <c r="Q187" i="1"/>
  <c r="R187" i="1" s="1"/>
  <c r="Q80" i="1"/>
  <c r="R80" i="1" s="1"/>
  <c r="Q224" i="1"/>
  <c r="R224" i="1" s="1"/>
  <c r="Q118" i="1"/>
  <c r="R118" i="1" s="1"/>
  <c r="Q203" i="1"/>
  <c r="R203" i="1" s="1"/>
  <c r="Q36" i="1"/>
  <c r="R36" i="1" s="1"/>
  <c r="Q42" i="1"/>
  <c r="R42" i="1" s="1"/>
  <c r="Q229" i="1"/>
  <c r="R229" i="1" s="1"/>
  <c r="Q131" i="1"/>
  <c r="R131" i="1" s="1"/>
  <c r="Q105" i="1"/>
  <c r="R105" i="1" s="1"/>
  <c r="Q49" i="1"/>
  <c r="R49" i="1" s="1"/>
  <c r="Q225" i="1"/>
  <c r="R225" i="1" s="1"/>
  <c r="Q119" i="1"/>
  <c r="R119" i="1" s="1"/>
  <c r="Q263" i="1"/>
  <c r="R263" i="1" s="1"/>
  <c r="Q38" i="1"/>
  <c r="R38" i="1" s="1"/>
  <c r="Q182" i="1"/>
  <c r="R182" i="1" s="1"/>
  <c r="Q3" i="1"/>
  <c r="R3" i="1" s="1"/>
  <c r="Q147" i="1"/>
  <c r="R147" i="1" s="1"/>
  <c r="Q291" i="1"/>
  <c r="R291" i="1" s="1"/>
  <c r="Q112" i="1"/>
  <c r="R112" i="1" s="1"/>
  <c r="Q256" i="1"/>
  <c r="R256" i="1" s="1"/>
  <c r="Q77" i="1"/>
  <c r="R77" i="1" s="1"/>
  <c r="Q221" i="1"/>
  <c r="R221" i="1" s="1"/>
  <c r="Q55" i="1"/>
  <c r="R55" i="1" s="1"/>
  <c r="Q199" i="1"/>
  <c r="R199" i="1" s="1"/>
  <c r="Q92" i="1"/>
  <c r="R92" i="1" s="1"/>
  <c r="Q236" i="1"/>
  <c r="R236" i="1" s="1"/>
  <c r="Q130" i="1"/>
  <c r="R130" i="1" s="1"/>
  <c r="Q227" i="1"/>
  <c r="R227" i="1" s="1"/>
  <c r="Q66" i="1"/>
  <c r="R66" i="1" s="1"/>
  <c r="Q129" i="1"/>
  <c r="R129" i="1" s="1"/>
  <c r="Q253" i="1"/>
  <c r="R253" i="1" s="1"/>
  <c r="Q157" i="1"/>
  <c r="R157" i="1" s="1"/>
  <c r="Q21" i="1"/>
  <c r="R21" i="1" s="1"/>
  <c r="Q81" i="1"/>
  <c r="R81" i="1" s="1"/>
  <c r="Q276" i="1"/>
  <c r="R276" i="1" s="1"/>
  <c r="Q193" i="1"/>
  <c r="R193" i="1" s="1"/>
  <c r="Q297" i="1"/>
  <c r="R297" i="1" s="1"/>
  <c r="X2" i="1" l="1"/>
  <c r="AA12" i="1"/>
  <c r="AB12" i="1" s="1"/>
  <c r="AA24" i="1"/>
  <c r="AB24" i="1" s="1"/>
  <c r="AA36" i="1"/>
  <c r="AB36" i="1" s="1"/>
  <c r="AA48" i="1"/>
  <c r="AB48" i="1" s="1"/>
  <c r="AA60" i="1"/>
  <c r="AB60" i="1" s="1"/>
  <c r="AA72" i="1"/>
  <c r="AB72" i="1" s="1"/>
  <c r="AA84" i="1"/>
  <c r="AB84" i="1" s="1"/>
  <c r="AA96" i="1"/>
  <c r="AB96" i="1" s="1"/>
  <c r="AA108" i="1"/>
  <c r="AB108" i="1" s="1"/>
  <c r="AA120" i="1"/>
  <c r="AB120" i="1" s="1"/>
  <c r="AA132" i="1"/>
  <c r="AB132" i="1" s="1"/>
  <c r="AA144" i="1"/>
  <c r="AB144" i="1" s="1"/>
  <c r="AA156" i="1"/>
  <c r="AB156" i="1" s="1"/>
  <c r="AA168" i="1"/>
  <c r="AB168" i="1" s="1"/>
  <c r="AA180" i="1"/>
  <c r="AB180" i="1" s="1"/>
  <c r="AA192" i="1"/>
  <c r="AB192" i="1" s="1"/>
  <c r="AA204" i="1"/>
  <c r="AB204" i="1" s="1"/>
  <c r="AA216" i="1"/>
  <c r="AB216" i="1" s="1"/>
  <c r="AA228" i="1"/>
  <c r="AB228" i="1" s="1"/>
  <c r="AA240" i="1"/>
  <c r="AB240" i="1" s="1"/>
  <c r="AA252" i="1"/>
  <c r="AB252" i="1" s="1"/>
  <c r="AA264" i="1"/>
  <c r="AB264" i="1" s="1"/>
  <c r="AA276" i="1"/>
  <c r="AB276" i="1" s="1"/>
  <c r="AA288" i="1"/>
  <c r="AB288" i="1" s="1"/>
  <c r="AA300" i="1"/>
  <c r="AB300" i="1" s="1"/>
  <c r="AA312" i="1"/>
  <c r="AB312" i="1" s="1"/>
  <c r="AA13" i="1"/>
  <c r="AB13" i="1" s="1"/>
  <c r="AA25" i="1"/>
  <c r="AB25" i="1" s="1"/>
  <c r="AA37" i="1"/>
  <c r="AB37" i="1" s="1"/>
  <c r="AA49" i="1"/>
  <c r="AB49" i="1" s="1"/>
  <c r="AA61" i="1"/>
  <c r="AB61" i="1" s="1"/>
  <c r="AA73" i="1"/>
  <c r="AB73" i="1" s="1"/>
  <c r="AA85" i="1"/>
  <c r="AB85" i="1" s="1"/>
  <c r="AA97" i="1"/>
  <c r="AB97" i="1" s="1"/>
  <c r="AA109" i="1"/>
  <c r="AB109" i="1" s="1"/>
  <c r="AA121" i="1"/>
  <c r="AB121" i="1" s="1"/>
  <c r="AA133" i="1"/>
  <c r="AB133" i="1" s="1"/>
  <c r="AA145" i="1"/>
  <c r="AB145" i="1" s="1"/>
  <c r="AA157" i="1"/>
  <c r="AB157" i="1" s="1"/>
  <c r="AA169" i="1"/>
  <c r="AB169" i="1" s="1"/>
  <c r="AA181" i="1"/>
  <c r="AB181" i="1" s="1"/>
  <c r="AA193" i="1"/>
  <c r="AB193" i="1" s="1"/>
  <c r="AA205" i="1"/>
  <c r="AB205" i="1" s="1"/>
  <c r="AA217" i="1"/>
  <c r="AB217" i="1" s="1"/>
  <c r="AA229" i="1"/>
  <c r="AB229" i="1" s="1"/>
  <c r="AA241" i="1"/>
  <c r="AB241" i="1" s="1"/>
  <c r="AA253" i="1"/>
  <c r="AB253" i="1" s="1"/>
  <c r="AA265" i="1"/>
  <c r="AB265" i="1" s="1"/>
  <c r="AA277" i="1"/>
  <c r="AB277" i="1" s="1"/>
  <c r="AA289" i="1"/>
  <c r="AB289" i="1" s="1"/>
  <c r="AA301" i="1"/>
  <c r="AB301" i="1" s="1"/>
  <c r="AA313" i="1"/>
  <c r="AB313" i="1" s="1"/>
  <c r="AA14" i="1"/>
  <c r="AB14" i="1" s="1"/>
  <c r="AA26" i="1"/>
  <c r="AB26" i="1" s="1"/>
  <c r="AA38" i="1"/>
  <c r="AB38" i="1" s="1"/>
  <c r="AA50" i="1"/>
  <c r="AB50" i="1" s="1"/>
  <c r="AA62" i="1"/>
  <c r="AB62" i="1" s="1"/>
  <c r="AA74" i="1"/>
  <c r="AB74" i="1" s="1"/>
  <c r="AA86" i="1"/>
  <c r="AB86" i="1" s="1"/>
  <c r="AA98" i="1"/>
  <c r="AB98" i="1" s="1"/>
  <c r="AA110" i="1"/>
  <c r="AB110" i="1" s="1"/>
  <c r="AA122" i="1"/>
  <c r="AB122" i="1" s="1"/>
  <c r="AA134" i="1"/>
  <c r="AB134" i="1" s="1"/>
  <c r="AA146" i="1"/>
  <c r="AB146" i="1" s="1"/>
  <c r="AA158" i="1"/>
  <c r="AB158" i="1" s="1"/>
  <c r="AA170" i="1"/>
  <c r="AB170" i="1" s="1"/>
  <c r="AA182" i="1"/>
  <c r="AB182" i="1" s="1"/>
  <c r="AA194" i="1"/>
  <c r="AB194" i="1" s="1"/>
  <c r="AA206" i="1"/>
  <c r="AB206" i="1" s="1"/>
  <c r="AA218" i="1"/>
  <c r="AB218" i="1" s="1"/>
  <c r="AA230" i="1"/>
  <c r="AB230" i="1" s="1"/>
  <c r="AA242" i="1"/>
  <c r="AB242" i="1" s="1"/>
  <c r="AA254" i="1"/>
  <c r="AB254" i="1" s="1"/>
  <c r="AA266" i="1"/>
  <c r="AB266" i="1" s="1"/>
  <c r="AA278" i="1"/>
  <c r="AB278" i="1" s="1"/>
  <c r="AA290" i="1"/>
  <c r="AB290" i="1" s="1"/>
  <c r="AA302" i="1"/>
  <c r="AB302" i="1" s="1"/>
  <c r="AA314" i="1"/>
  <c r="AB314" i="1" s="1"/>
  <c r="AA3" i="1"/>
  <c r="AB3" i="1" s="1"/>
  <c r="AA15" i="1"/>
  <c r="AB15" i="1" s="1"/>
  <c r="AA27" i="1"/>
  <c r="AB27" i="1" s="1"/>
  <c r="AA39" i="1"/>
  <c r="AB39" i="1" s="1"/>
  <c r="AA51" i="1"/>
  <c r="AB51" i="1" s="1"/>
  <c r="AA63" i="1"/>
  <c r="AB63" i="1" s="1"/>
  <c r="AA75" i="1"/>
  <c r="AB75" i="1" s="1"/>
  <c r="AA87" i="1"/>
  <c r="AB87" i="1" s="1"/>
  <c r="AA99" i="1"/>
  <c r="AB99" i="1" s="1"/>
  <c r="AA111" i="1"/>
  <c r="AB111" i="1" s="1"/>
  <c r="AA123" i="1"/>
  <c r="AB123" i="1" s="1"/>
  <c r="AA135" i="1"/>
  <c r="AB135" i="1" s="1"/>
  <c r="AA147" i="1"/>
  <c r="AB147" i="1" s="1"/>
  <c r="AA159" i="1"/>
  <c r="AB159" i="1" s="1"/>
  <c r="AA171" i="1"/>
  <c r="AB171" i="1" s="1"/>
  <c r="AA183" i="1"/>
  <c r="AB183" i="1" s="1"/>
  <c r="AA195" i="1"/>
  <c r="AB195" i="1" s="1"/>
  <c r="AA207" i="1"/>
  <c r="AB207" i="1" s="1"/>
  <c r="AA219" i="1"/>
  <c r="AB219" i="1" s="1"/>
  <c r="AA231" i="1"/>
  <c r="AB231" i="1" s="1"/>
  <c r="AA243" i="1"/>
  <c r="AB243" i="1" s="1"/>
  <c r="AA255" i="1"/>
  <c r="AB255" i="1" s="1"/>
  <c r="AA267" i="1"/>
  <c r="AB267" i="1" s="1"/>
  <c r="AA279" i="1"/>
  <c r="AB279" i="1" s="1"/>
  <c r="AA291" i="1"/>
  <c r="AB291" i="1" s="1"/>
  <c r="AA303" i="1"/>
  <c r="AB303" i="1" s="1"/>
  <c r="AA315" i="1"/>
  <c r="AB315" i="1" s="1"/>
  <c r="AA4" i="1"/>
  <c r="AB4" i="1" s="1"/>
  <c r="AA16" i="1"/>
  <c r="AB16" i="1" s="1"/>
  <c r="AA28" i="1"/>
  <c r="AB28" i="1" s="1"/>
  <c r="AA40" i="1"/>
  <c r="AB40" i="1" s="1"/>
  <c r="AA52" i="1"/>
  <c r="AB52" i="1" s="1"/>
  <c r="AA64" i="1"/>
  <c r="AB64" i="1" s="1"/>
  <c r="AA76" i="1"/>
  <c r="AB76" i="1" s="1"/>
  <c r="AA88" i="1"/>
  <c r="AB88" i="1" s="1"/>
  <c r="AA100" i="1"/>
  <c r="AB100" i="1" s="1"/>
  <c r="AA112" i="1"/>
  <c r="AB112" i="1" s="1"/>
  <c r="AA124" i="1"/>
  <c r="AB124" i="1" s="1"/>
  <c r="AA136" i="1"/>
  <c r="AB136" i="1" s="1"/>
  <c r="AA148" i="1"/>
  <c r="AB148" i="1" s="1"/>
  <c r="AA160" i="1"/>
  <c r="AB160" i="1" s="1"/>
  <c r="AA172" i="1"/>
  <c r="AB172" i="1" s="1"/>
  <c r="AA184" i="1"/>
  <c r="AB184" i="1" s="1"/>
  <c r="AA196" i="1"/>
  <c r="AB196" i="1" s="1"/>
  <c r="AA208" i="1"/>
  <c r="AB208" i="1" s="1"/>
  <c r="AA220" i="1"/>
  <c r="AB220" i="1" s="1"/>
  <c r="AA232" i="1"/>
  <c r="AB232" i="1" s="1"/>
  <c r="AA244" i="1"/>
  <c r="AB244" i="1" s="1"/>
  <c r="AA256" i="1"/>
  <c r="AB256" i="1" s="1"/>
  <c r="AA268" i="1"/>
  <c r="AB268" i="1" s="1"/>
  <c r="AA280" i="1"/>
  <c r="AB280" i="1" s="1"/>
  <c r="AA292" i="1"/>
  <c r="AB292" i="1" s="1"/>
  <c r="AA304" i="1"/>
  <c r="AB304" i="1" s="1"/>
  <c r="AA316" i="1"/>
  <c r="AB316" i="1" s="1"/>
  <c r="AA5" i="1"/>
  <c r="AB5" i="1" s="1"/>
  <c r="AA17" i="1"/>
  <c r="AB17" i="1" s="1"/>
  <c r="AA29" i="1"/>
  <c r="AB29" i="1" s="1"/>
  <c r="AA41" i="1"/>
  <c r="AB41" i="1" s="1"/>
  <c r="AA53" i="1"/>
  <c r="AB53" i="1" s="1"/>
  <c r="AA65" i="1"/>
  <c r="AB65" i="1" s="1"/>
  <c r="AA77" i="1"/>
  <c r="AB77" i="1" s="1"/>
  <c r="AA89" i="1"/>
  <c r="AB89" i="1" s="1"/>
  <c r="AA101" i="1"/>
  <c r="AB101" i="1" s="1"/>
  <c r="AA113" i="1"/>
  <c r="AB113" i="1" s="1"/>
  <c r="AA125" i="1"/>
  <c r="AB125" i="1" s="1"/>
  <c r="AA137" i="1"/>
  <c r="AB137" i="1" s="1"/>
  <c r="AA149" i="1"/>
  <c r="AB149" i="1" s="1"/>
  <c r="AA161" i="1"/>
  <c r="AB161" i="1" s="1"/>
  <c r="AA173" i="1"/>
  <c r="AB173" i="1" s="1"/>
  <c r="AA185" i="1"/>
  <c r="AB185" i="1" s="1"/>
  <c r="AA197" i="1"/>
  <c r="AB197" i="1" s="1"/>
  <c r="AA209" i="1"/>
  <c r="AB209" i="1" s="1"/>
  <c r="AA221" i="1"/>
  <c r="AB221" i="1" s="1"/>
  <c r="AA233" i="1"/>
  <c r="AB233" i="1" s="1"/>
  <c r="AA245" i="1"/>
  <c r="AB245" i="1" s="1"/>
  <c r="AA257" i="1"/>
  <c r="AB257" i="1" s="1"/>
  <c r="AA269" i="1"/>
  <c r="AB269" i="1" s="1"/>
  <c r="AA281" i="1"/>
  <c r="AB281" i="1" s="1"/>
  <c r="AA293" i="1"/>
  <c r="AB293" i="1" s="1"/>
  <c r="AA305" i="1"/>
  <c r="AB305" i="1" s="1"/>
  <c r="AA2" i="1"/>
  <c r="AB2" i="1" s="1"/>
  <c r="AA6" i="1"/>
  <c r="AB6" i="1" s="1"/>
  <c r="AA18" i="1"/>
  <c r="AB18" i="1" s="1"/>
  <c r="AA30" i="1"/>
  <c r="AB30" i="1" s="1"/>
  <c r="AA42" i="1"/>
  <c r="AB42" i="1" s="1"/>
  <c r="AA54" i="1"/>
  <c r="AB54" i="1" s="1"/>
  <c r="AA66" i="1"/>
  <c r="AB66" i="1" s="1"/>
  <c r="AA78" i="1"/>
  <c r="AB78" i="1" s="1"/>
  <c r="AA90" i="1"/>
  <c r="AB90" i="1" s="1"/>
  <c r="AA102" i="1"/>
  <c r="AB102" i="1" s="1"/>
  <c r="AA114" i="1"/>
  <c r="AB114" i="1" s="1"/>
  <c r="AA126" i="1"/>
  <c r="AB126" i="1" s="1"/>
  <c r="AA138" i="1"/>
  <c r="AB138" i="1" s="1"/>
  <c r="AA150" i="1"/>
  <c r="AB150" i="1" s="1"/>
  <c r="AA162" i="1"/>
  <c r="AB162" i="1" s="1"/>
  <c r="AA174" i="1"/>
  <c r="AB174" i="1" s="1"/>
  <c r="AA186" i="1"/>
  <c r="AB186" i="1" s="1"/>
  <c r="AA198" i="1"/>
  <c r="AB198" i="1" s="1"/>
  <c r="AA210" i="1"/>
  <c r="AB210" i="1" s="1"/>
  <c r="AA222" i="1"/>
  <c r="AB222" i="1" s="1"/>
  <c r="AA234" i="1"/>
  <c r="AB234" i="1" s="1"/>
  <c r="AA246" i="1"/>
  <c r="AB246" i="1" s="1"/>
  <c r="AA258" i="1"/>
  <c r="AB258" i="1" s="1"/>
  <c r="AA270" i="1"/>
  <c r="AB270" i="1" s="1"/>
  <c r="AA282" i="1"/>
  <c r="AB282" i="1" s="1"/>
  <c r="AA294" i="1"/>
  <c r="AB294" i="1" s="1"/>
  <c r="AA306" i="1"/>
  <c r="AB306" i="1" s="1"/>
  <c r="AA7" i="1"/>
  <c r="AB7" i="1" s="1"/>
  <c r="AA19" i="1"/>
  <c r="AB19" i="1" s="1"/>
  <c r="AA31" i="1"/>
  <c r="AB31" i="1" s="1"/>
  <c r="AA43" i="1"/>
  <c r="AB43" i="1" s="1"/>
  <c r="AA55" i="1"/>
  <c r="AB55" i="1" s="1"/>
  <c r="AA67" i="1"/>
  <c r="AB67" i="1" s="1"/>
  <c r="AA79" i="1"/>
  <c r="AB79" i="1" s="1"/>
  <c r="AA91" i="1"/>
  <c r="AB91" i="1" s="1"/>
  <c r="AA103" i="1"/>
  <c r="AB103" i="1" s="1"/>
  <c r="AA115" i="1"/>
  <c r="AB115" i="1" s="1"/>
  <c r="AA127" i="1"/>
  <c r="AB127" i="1" s="1"/>
  <c r="AA139" i="1"/>
  <c r="AB139" i="1" s="1"/>
  <c r="AA151" i="1"/>
  <c r="AB151" i="1" s="1"/>
  <c r="AA163" i="1"/>
  <c r="AB163" i="1" s="1"/>
  <c r="AA175" i="1"/>
  <c r="AB175" i="1" s="1"/>
  <c r="AA187" i="1"/>
  <c r="AB187" i="1" s="1"/>
  <c r="AA199" i="1"/>
  <c r="AB199" i="1" s="1"/>
  <c r="AA211" i="1"/>
  <c r="AB211" i="1" s="1"/>
  <c r="AA223" i="1"/>
  <c r="AB223" i="1" s="1"/>
  <c r="AA235" i="1"/>
  <c r="AB235" i="1" s="1"/>
  <c r="AA247" i="1"/>
  <c r="AB247" i="1" s="1"/>
  <c r="AA259" i="1"/>
  <c r="AB259" i="1" s="1"/>
  <c r="AA271" i="1"/>
  <c r="AB271" i="1" s="1"/>
  <c r="AA283" i="1"/>
  <c r="AB283" i="1" s="1"/>
  <c r="AA295" i="1"/>
  <c r="AB295" i="1" s="1"/>
  <c r="AA307" i="1"/>
  <c r="AB307" i="1" s="1"/>
  <c r="AA8" i="1"/>
  <c r="AB8" i="1" s="1"/>
  <c r="AA20" i="1"/>
  <c r="AB20" i="1" s="1"/>
  <c r="AA32" i="1"/>
  <c r="AB32" i="1" s="1"/>
  <c r="AA44" i="1"/>
  <c r="AB44" i="1" s="1"/>
  <c r="AA56" i="1"/>
  <c r="AB56" i="1" s="1"/>
  <c r="AA68" i="1"/>
  <c r="AB68" i="1" s="1"/>
  <c r="AA80" i="1"/>
  <c r="AB80" i="1" s="1"/>
  <c r="AA92" i="1"/>
  <c r="AB92" i="1" s="1"/>
  <c r="AA104" i="1"/>
  <c r="AB104" i="1" s="1"/>
  <c r="AA116" i="1"/>
  <c r="AB116" i="1" s="1"/>
  <c r="AA128" i="1"/>
  <c r="AB128" i="1" s="1"/>
  <c r="AA140" i="1"/>
  <c r="AB140" i="1" s="1"/>
  <c r="AA152" i="1"/>
  <c r="AB152" i="1" s="1"/>
  <c r="AA164" i="1"/>
  <c r="AB164" i="1" s="1"/>
  <c r="AA176" i="1"/>
  <c r="AB176" i="1" s="1"/>
  <c r="AA188" i="1"/>
  <c r="AB188" i="1" s="1"/>
  <c r="AA200" i="1"/>
  <c r="AB200" i="1" s="1"/>
  <c r="AA212" i="1"/>
  <c r="AB212" i="1" s="1"/>
  <c r="AA224" i="1"/>
  <c r="AB224" i="1" s="1"/>
  <c r="AA236" i="1"/>
  <c r="AB236" i="1" s="1"/>
  <c r="AA248" i="1"/>
  <c r="AB248" i="1" s="1"/>
  <c r="AA260" i="1"/>
  <c r="AB260" i="1" s="1"/>
  <c r="AA272" i="1"/>
  <c r="AB272" i="1" s="1"/>
  <c r="AA284" i="1"/>
  <c r="AB284" i="1" s="1"/>
  <c r="AA296" i="1"/>
  <c r="AB296" i="1" s="1"/>
  <c r="AA308" i="1"/>
  <c r="AB308" i="1" s="1"/>
  <c r="AA9" i="1"/>
  <c r="AB9" i="1" s="1"/>
  <c r="AA21" i="1"/>
  <c r="AB21" i="1" s="1"/>
  <c r="AA33" i="1"/>
  <c r="AB33" i="1" s="1"/>
  <c r="AA45" i="1"/>
  <c r="AB45" i="1" s="1"/>
  <c r="AA57" i="1"/>
  <c r="AB57" i="1" s="1"/>
  <c r="AA69" i="1"/>
  <c r="AB69" i="1" s="1"/>
  <c r="AA81" i="1"/>
  <c r="AB81" i="1" s="1"/>
  <c r="AA93" i="1"/>
  <c r="AB93" i="1" s="1"/>
  <c r="AA105" i="1"/>
  <c r="AB105" i="1" s="1"/>
  <c r="AA117" i="1"/>
  <c r="AB117" i="1" s="1"/>
  <c r="AA129" i="1"/>
  <c r="AB129" i="1" s="1"/>
  <c r="AA141" i="1"/>
  <c r="AB141" i="1" s="1"/>
  <c r="AA153" i="1"/>
  <c r="AB153" i="1" s="1"/>
  <c r="AA165" i="1"/>
  <c r="AB165" i="1" s="1"/>
  <c r="AA177" i="1"/>
  <c r="AB177" i="1" s="1"/>
  <c r="AA189" i="1"/>
  <c r="AB189" i="1" s="1"/>
  <c r="AA201" i="1"/>
  <c r="AB201" i="1" s="1"/>
  <c r="AA213" i="1"/>
  <c r="AB213" i="1" s="1"/>
  <c r="AA225" i="1"/>
  <c r="AB225" i="1" s="1"/>
  <c r="AA237" i="1"/>
  <c r="AB237" i="1" s="1"/>
  <c r="AA249" i="1"/>
  <c r="AB249" i="1" s="1"/>
  <c r="AA261" i="1"/>
  <c r="AB261" i="1" s="1"/>
  <c r="AA273" i="1"/>
  <c r="AB273" i="1" s="1"/>
  <c r="AA285" i="1"/>
  <c r="AB285" i="1" s="1"/>
  <c r="AA297" i="1"/>
  <c r="AB297" i="1" s="1"/>
  <c r="AA309" i="1"/>
  <c r="AB309" i="1" s="1"/>
  <c r="AA10" i="1"/>
  <c r="AB10" i="1" s="1"/>
  <c r="AA22" i="1"/>
  <c r="AB22" i="1" s="1"/>
  <c r="AA34" i="1"/>
  <c r="AB34" i="1" s="1"/>
  <c r="AA46" i="1"/>
  <c r="AB46" i="1" s="1"/>
  <c r="AA58" i="1"/>
  <c r="AB58" i="1" s="1"/>
  <c r="AA70" i="1"/>
  <c r="AB70" i="1" s="1"/>
  <c r="AA82" i="1"/>
  <c r="AB82" i="1" s="1"/>
  <c r="AA94" i="1"/>
  <c r="AB94" i="1" s="1"/>
  <c r="AA106" i="1"/>
  <c r="AB106" i="1" s="1"/>
  <c r="AA118" i="1"/>
  <c r="AB118" i="1" s="1"/>
  <c r="AA130" i="1"/>
  <c r="AB130" i="1" s="1"/>
  <c r="AA142" i="1"/>
  <c r="AB142" i="1" s="1"/>
  <c r="AA154" i="1"/>
  <c r="AB154" i="1" s="1"/>
  <c r="AA166" i="1"/>
  <c r="AB166" i="1" s="1"/>
  <c r="AA178" i="1"/>
  <c r="AB178" i="1" s="1"/>
  <c r="AA190" i="1"/>
  <c r="AB190" i="1" s="1"/>
  <c r="AA202" i="1"/>
  <c r="AB202" i="1" s="1"/>
  <c r="AA214" i="1"/>
  <c r="AB214" i="1" s="1"/>
  <c r="AA226" i="1"/>
  <c r="AB226" i="1" s="1"/>
  <c r="AA238" i="1"/>
  <c r="AB238" i="1" s="1"/>
  <c r="AA250" i="1"/>
  <c r="AB250" i="1" s="1"/>
  <c r="AA262" i="1"/>
  <c r="AB262" i="1" s="1"/>
  <c r="AA274" i="1"/>
  <c r="AB274" i="1" s="1"/>
  <c r="AA286" i="1"/>
  <c r="AB286" i="1" s="1"/>
  <c r="AA298" i="1"/>
  <c r="AB298" i="1" s="1"/>
  <c r="AA310" i="1"/>
  <c r="AB310" i="1" s="1"/>
  <c r="AA11" i="1"/>
  <c r="AB11" i="1" s="1"/>
  <c r="AA23" i="1"/>
  <c r="AB23" i="1" s="1"/>
  <c r="AA35" i="1"/>
  <c r="AB35" i="1" s="1"/>
  <c r="AA47" i="1"/>
  <c r="AB47" i="1" s="1"/>
  <c r="AA59" i="1"/>
  <c r="AB59" i="1" s="1"/>
  <c r="AA71" i="1"/>
  <c r="AB71" i="1" s="1"/>
  <c r="AA83" i="1"/>
  <c r="AB83" i="1" s="1"/>
  <c r="AA95" i="1"/>
  <c r="AB95" i="1" s="1"/>
  <c r="AA107" i="1"/>
  <c r="AB107" i="1" s="1"/>
  <c r="AA119" i="1"/>
  <c r="AB119" i="1" s="1"/>
  <c r="AA131" i="1"/>
  <c r="AB131" i="1" s="1"/>
  <c r="AA143" i="1"/>
  <c r="AB143" i="1" s="1"/>
  <c r="AA155" i="1"/>
  <c r="AB155" i="1" s="1"/>
  <c r="AA167" i="1"/>
  <c r="AB167" i="1" s="1"/>
  <c r="AA179" i="1"/>
  <c r="AB179" i="1" s="1"/>
  <c r="AA191" i="1"/>
  <c r="AB191" i="1" s="1"/>
  <c r="AA203" i="1"/>
  <c r="AB203" i="1" s="1"/>
  <c r="AA215" i="1"/>
  <c r="AB215" i="1" s="1"/>
  <c r="AA227" i="1"/>
  <c r="AB227" i="1" s="1"/>
  <c r="AA239" i="1"/>
  <c r="AB239" i="1" s="1"/>
  <c r="AA251" i="1"/>
  <c r="AB251" i="1" s="1"/>
  <c r="AA263" i="1"/>
  <c r="AB263" i="1" s="1"/>
  <c r="AA275" i="1"/>
  <c r="AB275" i="1" s="1"/>
  <c r="AA287" i="1"/>
  <c r="AB287" i="1" s="1"/>
  <c r="AA299" i="1"/>
  <c r="AB299" i="1" s="1"/>
  <c r="AA311" i="1"/>
  <c r="AB311" i="1" s="1"/>
  <c r="Y2" i="1"/>
  <c r="X3" i="1"/>
  <c r="Y3" i="1" l="1"/>
  <c r="X4" i="1"/>
  <c r="X5" i="1" l="1"/>
  <c r="Y4" i="1"/>
  <c r="X6" i="1" l="1"/>
  <c r="Y5" i="1"/>
  <c r="X7" i="1" l="1"/>
  <c r="Y6" i="1"/>
  <c r="X8" i="1" l="1"/>
  <c r="Y7" i="1"/>
  <c r="X9" i="1" l="1"/>
  <c r="Y8" i="1"/>
  <c r="X10" i="1" l="1"/>
  <c r="Y9" i="1"/>
  <c r="X11" i="1" l="1"/>
  <c r="Y10" i="1"/>
  <c r="X12" i="1" l="1"/>
  <c r="Y11" i="1"/>
  <c r="X13" i="1" l="1"/>
  <c r="Y12" i="1"/>
  <c r="X14" i="1" l="1"/>
  <c r="Y13" i="1"/>
  <c r="X15" i="1" l="1"/>
  <c r="Y14" i="1"/>
  <c r="X16" i="1" l="1"/>
  <c r="Y15" i="1"/>
  <c r="X17" i="1" l="1"/>
  <c r="Y16" i="1"/>
  <c r="X18" i="1" l="1"/>
  <c r="Y17" i="1"/>
  <c r="X19" i="1" l="1"/>
  <c r="Y18" i="1"/>
  <c r="X20" i="1" l="1"/>
  <c r="Y19" i="1"/>
  <c r="X21" i="1" l="1"/>
  <c r="Y20" i="1"/>
  <c r="X22" i="1" l="1"/>
  <c r="Y21" i="1"/>
  <c r="X23" i="1" l="1"/>
  <c r="Y22" i="1"/>
  <c r="X24" i="1" l="1"/>
  <c r="Y23" i="1"/>
  <c r="X25" i="1" l="1"/>
  <c r="Y24" i="1"/>
  <c r="X26" i="1" l="1"/>
  <c r="Y25" i="1"/>
  <c r="X27" i="1" l="1"/>
  <c r="Y26" i="1"/>
  <c r="X28" i="1" l="1"/>
  <c r="Y27" i="1"/>
  <c r="X29" i="1" l="1"/>
  <c r="Y28" i="1"/>
  <c r="X30" i="1" l="1"/>
  <c r="Y29" i="1"/>
  <c r="X31" i="1" l="1"/>
  <c r="Y30" i="1"/>
  <c r="X32" i="1" l="1"/>
  <c r="Y31" i="1"/>
  <c r="X33" i="1" l="1"/>
  <c r="Y32" i="1"/>
  <c r="X34" i="1" l="1"/>
  <c r="Y33" i="1"/>
  <c r="X35" i="1" l="1"/>
  <c r="Y34" i="1"/>
  <c r="X36" i="1" l="1"/>
  <c r="Y35" i="1"/>
  <c r="X37" i="1" l="1"/>
  <c r="Y36" i="1"/>
  <c r="X38" i="1" l="1"/>
  <c r="Y37" i="1"/>
  <c r="X39" i="1" l="1"/>
  <c r="Y38" i="1"/>
  <c r="X40" i="1" l="1"/>
  <c r="Y39" i="1"/>
  <c r="X41" i="1" l="1"/>
  <c r="Y40" i="1"/>
  <c r="X42" i="1" l="1"/>
  <c r="Y41" i="1"/>
  <c r="X43" i="1" l="1"/>
  <c r="Y42" i="1"/>
  <c r="X44" i="1" l="1"/>
  <c r="Y43" i="1"/>
  <c r="X45" i="1" l="1"/>
  <c r="Y44" i="1"/>
  <c r="X46" i="1" l="1"/>
  <c r="Y45" i="1"/>
  <c r="X47" i="1" l="1"/>
  <c r="Y46" i="1"/>
  <c r="X48" i="1" l="1"/>
  <c r="Y47" i="1"/>
  <c r="X49" i="1" l="1"/>
  <c r="Y48" i="1"/>
  <c r="X50" i="1" l="1"/>
  <c r="Y49" i="1"/>
  <c r="X51" i="1" l="1"/>
  <c r="Y50" i="1"/>
  <c r="X52" i="1" l="1"/>
  <c r="Y51" i="1"/>
  <c r="X53" i="1" l="1"/>
  <c r="Y52" i="1"/>
  <c r="X54" i="1" l="1"/>
  <c r="Y53" i="1"/>
  <c r="X55" i="1" l="1"/>
  <c r="Y54" i="1"/>
  <c r="X56" i="1" l="1"/>
  <c r="Y55" i="1"/>
  <c r="X57" i="1" l="1"/>
  <c r="Y56" i="1"/>
  <c r="X58" i="1" l="1"/>
  <c r="Y57" i="1"/>
  <c r="X59" i="1" l="1"/>
  <c r="Y58" i="1"/>
  <c r="X60" i="1" l="1"/>
  <c r="Y59" i="1"/>
  <c r="X61" i="1" l="1"/>
  <c r="Y60" i="1"/>
  <c r="X62" i="1" l="1"/>
  <c r="Y61" i="1"/>
  <c r="X63" i="1" l="1"/>
  <c r="Y62" i="1"/>
  <c r="X64" i="1" l="1"/>
  <c r="Y63" i="1"/>
  <c r="X65" i="1" l="1"/>
  <c r="Y64" i="1"/>
  <c r="X66" i="1" l="1"/>
  <c r="Y65" i="1"/>
  <c r="X67" i="1" l="1"/>
  <c r="Y66" i="1"/>
  <c r="X68" i="1" l="1"/>
  <c r="Y67" i="1"/>
  <c r="X69" i="1" l="1"/>
  <c r="Y68" i="1"/>
  <c r="X70" i="1" l="1"/>
  <c r="Y69" i="1"/>
  <c r="X71" i="1" l="1"/>
  <c r="Y70" i="1"/>
  <c r="X72" i="1" l="1"/>
  <c r="Y71" i="1"/>
  <c r="X73" i="1" l="1"/>
  <c r="Y72" i="1"/>
  <c r="X74" i="1" l="1"/>
  <c r="Y73" i="1"/>
  <c r="X75" i="1" l="1"/>
  <c r="Y74" i="1"/>
  <c r="X76" i="1" l="1"/>
  <c r="Y75" i="1"/>
  <c r="X77" i="1" l="1"/>
  <c r="Y76" i="1"/>
  <c r="X78" i="1" l="1"/>
  <c r="Y77" i="1"/>
  <c r="X79" i="1" l="1"/>
  <c r="Y78" i="1"/>
  <c r="X80" i="1" l="1"/>
  <c r="Y79" i="1"/>
  <c r="X81" i="1" l="1"/>
  <c r="Y80" i="1"/>
  <c r="X82" i="1" l="1"/>
  <c r="Y81" i="1"/>
  <c r="X83" i="1" l="1"/>
  <c r="Y82" i="1"/>
  <c r="X84" i="1" l="1"/>
  <c r="Y83" i="1"/>
  <c r="X85" i="1" l="1"/>
  <c r="Y84" i="1"/>
  <c r="X86" i="1" l="1"/>
  <c r="Y85" i="1"/>
  <c r="X87" i="1" l="1"/>
  <c r="Y86" i="1"/>
  <c r="X88" i="1" l="1"/>
  <c r="Y87" i="1"/>
  <c r="X89" i="1" l="1"/>
  <c r="Y88" i="1"/>
  <c r="X90" i="1" l="1"/>
  <c r="Y89" i="1"/>
  <c r="X91" i="1" l="1"/>
  <c r="Y90" i="1"/>
  <c r="X92" i="1" l="1"/>
  <c r="Y91" i="1"/>
  <c r="X93" i="1" l="1"/>
  <c r="Y92" i="1"/>
  <c r="X94" i="1" l="1"/>
  <c r="Y93" i="1"/>
  <c r="X95" i="1" l="1"/>
  <c r="Y94" i="1"/>
  <c r="X96" i="1" l="1"/>
  <c r="Y95" i="1"/>
  <c r="X97" i="1" l="1"/>
  <c r="Y96" i="1"/>
  <c r="X98" i="1" l="1"/>
  <c r="Y97" i="1"/>
  <c r="X99" i="1" l="1"/>
  <c r="Y98" i="1"/>
  <c r="X100" i="1" l="1"/>
  <c r="Y99" i="1"/>
  <c r="X101" i="1" l="1"/>
  <c r="Y100" i="1"/>
  <c r="X102" i="1" l="1"/>
  <c r="Y101" i="1"/>
  <c r="X103" i="1" l="1"/>
  <c r="Y102" i="1"/>
  <c r="X104" i="1" l="1"/>
  <c r="Y103" i="1"/>
  <c r="X105" i="1" l="1"/>
  <c r="Y104" i="1"/>
  <c r="X106" i="1" l="1"/>
  <c r="Y105" i="1"/>
  <c r="X107" i="1" l="1"/>
  <c r="Y106" i="1"/>
  <c r="X108" i="1" l="1"/>
  <c r="Y107" i="1"/>
  <c r="X109" i="1" l="1"/>
  <c r="Y108" i="1"/>
  <c r="X110" i="1" l="1"/>
  <c r="Y109" i="1"/>
  <c r="X111" i="1" l="1"/>
  <c r="Y110" i="1"/>
  <c r="X112" i="1" l="1"/>
  <c r="Y111" i="1"/>
  <c r="X113" i="1" l="1"/>
  <c r="Y112" i="1"/>
  <c r="X114" i="1" l="1"/>
  <c r="Y113" i="1"/>
  <c r="X115" i="1" l="1"/>
  <c r="Y114" i="1"/>
  <c r="X116" i="1" l="1"/>
  <c r="Y115" i="1"/>
  <c r="X117" i="1" l="1"/>
  <c r="Y116" i="1"/>
  <c r="X118" i="1" l="1"/>
  <c r="Y117" i="1"/>
  <c r="X119" i="1" l="1"/>
  <c r="Y118" i="1"/>
  <c r="X120" i="1" l="1"/>
  <c r="Y119" i="1"/>
  <c r="X121" i="1" l="1"/>
  <c r="Y120" i="1"/>
  <c r="X122" i="1" l="1"/>
  <c r="Y121" i="1"/>
  <c r="X123" i="1" l="1"/>
  <c r="Y122" i="1"/>
  <c r="X124" i="1" l="1"/>
  <c r="Y123" i="1"/>
  <c r="X125" i="1" l="1"/>
  <c r="Y124" i="1"/>
  <c r="X126" i="1" l="1"/>
  <c r="Y125" i="1"/>
  <c r="X127" i="1" l="1"/>
  <c r="Y126" i="1"/>
  <c r="X128" i="1" l="1"/>
  <c r="Y127" i="1"/>
  <c r="X129" i="1" l="1"/>
  <c r="Y128" i="1"/>
  <c r="X130" i="1" l="1"/>
  <c r="Y129" i="1"/>
  <c r="X131" i="1" l="1"/>
  <c r="Y130" i="1"/>
  <c r="X132" i="1" l="1"/>
  <c r="Y131" i="1"/>
  <c r="X133" i="1" l="1"/>
  <c r="Y132" i="1"/>
  <c r="X134" i="1" l="1"/>
  <c r="Y133" i="1"/>
  <c r="X135" i="1" l="1"/>
  <c r="Y134" i="1"/>
  <c r="X136" i="1" l="1"/>
  <c r="Y135" i="1"/>
  <c r="X137" i="1" l="1"/>
  <c r="Y136" i="1"/>
  <c r="X138" i="1" l="1"/>
  <c r="Y137" i="1"/>
  <c r="X139" i="1" l="1"/>
  <c r="Y138" i="1"/>
  <c r="X140" i="1" l="1"/>
  <c r="Y139" i="1"/>
  <c r="X141" i="1" l="1"/>
  <c r="Y140" i="1"/>
  <c r="X142" i="1" l="1"/>
  <c r="Y141" i="1"/>
  <c r="X143" i="1" l="1"/>
  <c r="Y142" i="1"/>
  <c r="X144" i="1" l="1"/>
  <c r="Y143" i="1"/>
  <c r="X145" i="1" l="1"/>
  <c r="Y144" i="1"/>
  <c r="X146" i="1" l="1"/>
  <c r="Y145" i="1"/>
  <c r="X147" i="1" l="1"/>
  <c r="Y146" i="1"/>
  <c r="X148" i="1" l="1"/>
  <c r="Y147" i="1"/>
  <c r="X149" i="1" l="1"/>
  <c r="Y148" i="1"/>
  <c r="X150" i="1" l="1"/>
  <c r="Y149" i="1"/>
  <c r="X151" i="1" l="1"/>
  <c r="Y150" i="1"/>
  <c r="X152" i="1" l="1"/>
  <c r="Y151" i="1"/>
  <c r="X153" i="1" l="1"/>
  <c r="Y152" i="1"/>
  <c r="X154" i="1" l="1"/>
  <c r="Y153" i="1"/>
  <c r="X155" i="1" l="1"/>
  <c r="Y154" i="1"/>
  <c r="X156" i="1" l="1"/>
  <c r="Y155" i="1"/>
  <c r="X157" i="1" l="1"/>
  <c r="Y156" i="1"/>
  <c r="X158" i="1" l="1"/>
  <c r="Y157" i="1"/>
  <c r="X159" i="1" l="1"/>
  <c r="Y158" i="1"/>
  <c r="X160" i="1" l="1"/>
  <c r="Y159" i="1"/>
  <c r="X161" i="1" l="1"/>
  <c r="Y160" i="1"/>
  <c r="X162" i="1" l="1"/>
  <c r="Y161" i="1"/>
  <c r="X163" i="1" l="1"/>
  <c r="Y162" i="1"/>
  <c r="X164" i="1" l="1"/>
  <c r="Y163" i="1"/>
  <c r="X165" i="1" l="1"/>
  <c r="Y164" i="1"/>
  <c r="X166" i="1" l="1"/>
  <c r="Y165" i="1"/>
  <c r="X167" i="1" l="1"/>
  <c r="Y166" i="1"/>
  <c r="X168" i="1" l="1"/>
  <c r="Y167" i="1"/>
  <c r="X169" i="1" l="1"/>
  <c r="Y168" i="1"/>
  <c r="X170" i="1" l="1"/>
  <c r="Y169" i="1"/>
  <c r="X171" i="1" l="1"/>
  <c r="Y170" i="1"/>
  <c r="X172" i="1" l="1"/>
  <c r="Y171" i="1"/>
  <c r="X173" i="1" l="1"/>
  <c r="Y172" i="1"/>
  <c r="X174" i="1" l="1"/>
  <c r="Y173" i="1"/>
  <c r="X175" i="1" l="1"/>
  <c r="Y174" i="1"/>
  <c r="X176" i="1" l="1"/>
  <c r="Y175" i="1"/>
  <c r="X177" i="1" l="1"/>
  <c r="Y176" i="1"/>
  <c r="X178" i="1" l="1"/>
  <c r="Y177" i="1"/>
  <c r="X179" i="1" l="1"/>
  <c r="Y178" i="1"/>
  <c r="X180" i="1" l="1"/>
  <c r="Y179" i="1"/>
  <c r="X181" i="1" l="1"/>
  <c r="Y180" i="1"/>
  <c r="X182" i="1" l="1"/>
  <c r="Y181" i="1"/>
  <c r="X183" i="1" l="1"/>
  <c r="Y182" i="1"/>
  <c r="X184" i="1" l="1"/>
  <c r="Y183" i="1"/>
  <c r="X185" i="1" l="1"/>
  <c r="Y184" i="1"/>
  <c r="X186" i="1" l="1"/>
  <c r="Y185" i="1"/>
  <c r="X187" i="1" l="1"/>
  <c r="Y186" i="1"/>
  <c r="X188" i="1" l="1"/>
  <c r="Y187" i="1"/>
  <c r="X189" i="1" l="1"/>
  <c r="Y188" i="1"/>
  <c r="X190" i="1" l="1"/>
  <c r="Y189" i="1"/>
  <c r="X191" i="1" l="1"/>
  <c r="Y190" i="1"/>
  <c r="X192" i="1" l="1"/>
  <c r="Y191" i="1"/>
  <c r="X193" i="1" l="1"/>
  <c r="Y192" i="1"/>
  <c r="X194" i="1" l="1"/>
  <c r="Y193" i="1"/>
  <c r="X195" i="1" l="1"/>
  <c r="Y194" i="1"/>
  <c r="X196" i="1" l="1"/>
  <c r="Y195" i="1"/>
  <c r="X197" i="1" l="1"/>
  <c r="Y196" i="1"/>
  <c r="X198" i="1" l="1"/>
  <c r="Y197" i="1"/>
  <c r="X199" i="1" l="1"/>
  <c r="Y198" i="1"/>
  <c r="X200" i="1" l="1"/>
  <c r="Y199" i="1"/>
  <c r="X201" i="1" l="1"/>
  <c r="Y200" i="1"/>
  <c r="X202" i="1" l="1"/>
  <c r="Y201" i="1"/>
  <c r="X203" i="1" l="1"/>
  <c r="Y202" i="1"/>
  <c r="X204" i="1" l="1"/>
  <c r="Y203" i="1"/>
  <c r="X205" i="1" l="1"/>
  <c r="Y204" i="1"/>
  <c r="X206" i="1" l="1"/>
  <c r="Y205" i="1"/>
  <c r="X207" i="1" l="1"/>
  <c r="Y206" i="1"/>
  <c r="X208" i="1" l="1"/>
  <c r="Y207" i="1"/>
  <c r="X209" i="1" l="1"/>
  <c r="Y208" i="1"/>
  <c r="X210" i="1" l="1"/>
  <c r="Y209" i="1"/>
  <c r="X211" i="1" l="1"/>
  <c r="Y210" i="1"/>
  <c r="X212" i="1" l="1"/>
  <c r="Y211" i="1"/>
  <c r="X213" i="1" l="1"/>
  <c r="Y212" i="1"/>
  <c r="X214" i="1" l="1"/>
  <c r="Y213" i="1"/>
  <c r="X215" i="1" l="1"/>
  <c r="Y214" i="1"/>
  <c r="X216" i="1" l="1"/>
  <c r="Y215" i="1"/>
  <c r="X217" i="1" l="1"/>
  <c r="Y216" i="1"/>
  <c r="X218" i="1" l="1"/>
  <c r="Y217" i="1"/>
  <c r="X219" i="1" l="1"/>
  <c r="Y218" i="1"/>
  <c r="X220" i="1" l="1"/>
  <c r="Y219" i="1"/>
  <c r="X221" i="1" l="1"/>
  <c r="Y220" i="1"/>
  <c r="X222" i="1" l="1"/>
  <c r="Y221" i="1"/>
  <c r="X223" i="1" l="1"/>
  <c r="Y222" i="1"/>
  <c r="X224" i="1" l="1"/>
  <c r="Y223" i="1"/>
  <c r="X225" i="1" l="1"/>
  <c r="Y224" i="1"/>
  <c r="X226" i="1" l="1"/>
  <c r="Y225" i="1"/>
  <c r="X227" i="1" l="1"/>
  <c r="Y226" i="1"/>
  <c r="X228" i="1" l="1"/>
  <c r="Y227" i="1"/>
  <c r="X229" i="1" l="1"/>
  <c r="Y228" i="1"/>
  <c r="X230" i="1" l="1"/>
  <c r="Y229" i="1"/>
  <c r="X231" i="1" l="1"/>
  <c r="Y230" i="1"/>
  <c r="X232" i="1" l="1"/>
  <c r="Y231" i="1"/>
  <c r="X233" i="1" l="1"/>
  <c r="Y232" i="1"/>
  <c r="X234" i="1" l="1"/>
  <c r="Y233" i="1"/>
  <c r="X235" i="1" l="1"/>
  <c r="Y234" i="1"/>
  <c r="X236" i="1" l="1"/>
  <c r="Y235" i="1"/>
  <c r="X237" i="1" l="1"/>
  <c r="Y236" i="1"/>
  <c r="X238" i="1" l="1"/>
  <c r="Y237" i="1"/>
  <c r="X239" i="1" l="1"/>
  <c r="Y238" i="1"/>
  <c r="X240" i="1" l="1"/>
  <c r="Y239" i="1"/>
  <c r="X241" i="1" l="1"/>
  <c r="Y240" i="1"/>
  <c r="X242" i="1" l="1"/>
  <c r="Y241" i="1"/>
  <c r="X243" i="1" l="1"/>
  <c r="Y242" i="1"/>
  <c r="X244" i="1" l="1"/>
  <c r="Y243" i="1"/>
  <c r="X245" i="1" l="1"/>
  <c r="Y244" i="1"/>
  <c r="X246" i="1" l="1"/>
  <c r="Y245" i="1"/>
  <c r="X247" i="1" l="1"/>
  <c r="Y246" i="1"/>
  <c r="X248" i="1" l="1"/>
  <c r="Y247" i="1"/>
  <c r="X249" i="1" l="1"/>
  <c r="Y248" i="1"/>
  <c r="X250" i="1" l="1"/>
  <c r="Y249" i="1"/>
  <c r="X251" i="1" l="1"/>
  <c r="Y250" i="1"/>
  <c r="X252" i="1" l="1"/>
  <c r="Y251" i="1"/>
  <c r="X253" i="1" l="1"/>
  <c r="Y252" i="1"/>
  <c r="X254" i="1" l="1"/>
  <c r="Y253" i="1"/>
  <c r="X255" i="1" l="1"/>
  <c r="Y254" i="1"/>
  <c r="X256" i="1" l="1"/>
  <c r="Y255" i="1"/>
  <c r="X257" i="1" l="1"/>
  <c r="Y256" i="1"/>
  <c r="X258" i="1" l="1"/>
  <c r="Y257" i="1"/>
  <c r="X259" i="1" l="1"/>
  <c r="Y258" i="1"/>
  <c r="X260" i="1" l="1"/>
  <c r="Y259" i="1"/>
  <c r="X261" i="1" l="1"/>
  <c r="Y260" i="1"/>
  <c r="X262" i="1" l="1"/>
  <c r="Y261" i="1"/>
  <c r="X263" i="1" l="1"/>
  <c r="Y262" i="1"/>
  <c r="X264" i="1" l="1"/>
  <c r="Y263" i="1"/>
  <c r="X265" i="1" l="1"/>
  <c r="Y264" i="1"/>
  <c r="X266" i="1" l="1"/>
  <c r="Y265" i="1"/>
  <c r="X267" i="1" l="1"/>
  <c r="Y266" i="1"/>
  <c r="X268" i="1" l="1"/>
  <c r="Y267" i="1"/>
  <c r="X269" i="1" l="1"/>
  <c r="Y268" i="1"/>
  <c r="X270" i="1" l="1"/>
  <c r="Y269" i="1"/>
  <c r="X271" i="1" l="1"/>
  <c r="Y270" i="1"/>
  <c r="X272" i="1" l="1"/>
  <c r="Y271" i="1"/>
  <c r="X273" i="1" l="1"/>
  <c r="Y272" i="1"/>
  <c r="X274" i="1" l="1"/>
  <c r="Y273" i="1"/>
  <c r="X275" i="1" l="1"/>
  <c r="Y274" i="1"/>
  <c r="X276" i="1" l="1"/>
  <c r="Y275" i="1"/>
  <c r="X277" i="1" l="1"/>
  <c r="Y276" i="1"/>
  <c r="X278" i="1" l="1"/>
  <c r="Y277" i="1"/>
  <c r="X279" i="1" l="1"/>
  <c r="Y278" i="1"/>
  <c r="X280" i="1" l="1"/>
  <c r="Y279" i="1"/>
  <c r="X281" i="1" l="1"/>
  <c r="Y280" i="1"/>
  <c r="X282" i="1" l="1"/>
  <c r="Y281" i="1"/>
  <c r="X283" i="1" l="1"/>
  <c r="Y282" i="1"/>
  <c r="X284" i="1" l="1"/>
  <c r="Y283" i="1"/>
  <c r="X285" i="1" l="1"/>
  <c r="Y284" i="1"/>
  <c r="X286" i="1" l="1"/>
  <c r="Y285" i="1"/>
  <c r="X287" i="1" l="1"/>
  <c r="Y286" i="1"/>
  <c r="X288" i="1" l="1"/>
  <c r="Y287" i="1"/>
  <c r="X289" i="1" l="1"/>
  <c r="Y288" i="1"/>
  <c r="X290" i="1" l="1"/>
  <c r="Y289" i="1"/>
  <c r="X291" i="1" l="1"/>
  <c r="Y290" i="1"/>
  <c r="X292" i="1" l="1"/>
  <c r="Y291" i="1"/>
  <c r="X293" i="1" l="1"/>
  <c r="Y292" i="1"/>
  <c r="X294" i="1" l="1"/>
  <c r="Y293" i="1"/>
  <c r="X295" i="1" l="1"/>
  <c r="Y294" i="1"/>
  <c r="X296" i="1" l="1"/>
  <c r="Y295" i="1"/>
  <c r="X297" i="1" l="1"/>
  <c r="Y296" i="1"/>
  <c r="X298" i="1" l="1"/>
  <c r="Y297" i="1"/>
  <c r="X299" i="1" l="1"/>
  <c r="Y298" i="1"/>
  <c r="X300" i="1" l="1"/>
  <c r="Y299" i="1"/>
  <c r="X301" i="1" l="1"/>
  <c r="Y300" i="1"/>
  <c r="X302" i="1" l="1"/>
  <c r="Y301" i="1"/>
  <c r="X303" i="1" l="1"/>
  <c r="Y302" i="1"/>
  <c r="X304" i="1" l="1"/>
  <c r="Y303" i="1"/>
  <c r="X305" i="1" l="1"/>
  <c r="Y304" i="1"/>
  <c r="X306" i="1" l="1"/>
  <c r="Y305" i="1"/>
  <c r="X307" i="1" l="1"/>
  <c r="Y306" i="1"/>
  <c r="X308" i="1" l="1"/>
  <c r="Y307" i="1"/>
  <c r="X309" i="1" l="1"/>
  <c r="Y308" i="1"/>
  <c r="X310" i="1" l="1"/>
  <c r="Y309" i="1"/>
  <c r="X311" i="1" l="1"/>
  <c r="Y310" i="1"/>
  <c r="X312" i="1" l="1"/>
  <c r="Y311" i="1"/>
  <c r="X313" i="1" l="1"/>
  <c r="Y312" i="1"/>
  <c r="X314" i="1" l="1"/>
  <c r="Y313" i="1"/>
  <c r="X315" i="1" l="1"/>
  <c r="Y314" i="1"/>
  <c r="X316" i="1" l="1"/>
  <c r="Y316" i="1" s="1"/>
  <c r="Y315" i="1"/>
</calcChain>
</file>

<file path=xl/sharedStrings.xml><?xml version="1.0" encoding="utf-8"?>
<sst xmlns="http://schemas.openxmlformats.org/spreadsheetml/2006/main" count="20" uniqueCount="19">
  <si>
    <t>mcu time(ms)</t>
  </si>
  <si>
    <t>gyro_Z(deg/s)</t>
  </si>
  <si>
    <t>mag_X(uT)</t>
  </si>
  <si>
    <t>mag_Y(uT)</t>
  </si>
  <si>
    <t>sun_direction(deg)</t>
  </si>
  <si>
    <t>sun_plusX(count)</t>
  </si>
  <si>
    <t>sun_plusY(count)</t>
  </si>
  <si>
    <t>sun_minusX(count)</t>
  </si>
  <si>
    <t>sun_minusY(count)</t>
  </si>
  <si>
    <t>magX_cal</t>
  </si>
  <si>
    <t>mag_cal</t>
  </si>
  <si>
    <t>xoff</t>
  </si>
  <si>
    <t>yoff</t>
  </si>
  <si>
    <t>heading</t>
  </si>
  <si>
    <t>dt</t>
  </si>
  <si>
    <t>gyro heading</t>
  </si>
  <si>
    <t>0-360</t>
  </si>
  <si>
    <t>time(sec)</t>
  </si>
  <si>
    <t>sun hedg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</si>
</sst>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'data_Lab6_2025-09-29_132005'!$N$2:$N$316</c:f>
              <c:numCache>
                <c:formatCode>General</c:formatCode>
                <c:ptCount val="315"/>
                <c:pt idx="0">
                  <c:v>-9.5238095238095233E-2</c:v>
                </c:pt>
                <c:pt idx="1">
                  <c:v>-0.10476190476190467</c:v>
                </c:pt>
                <c:pt idx="2">
                  <c:v>-0.15238095238095228</c:v>
                </c:pt>
                <c:pt idx="3">
                  <c:v>-4.7619047619047616E-2</c:v>
                </c:pt>
                <c:pt idx="4">
                  <c:v>-6.6666666666666596E-2</c:v>
                </c:pt>
                <c:pt idx="5">
                  <c:v>-9.5238095238095233E-2</c:v>
                </c:pt>
                <c:pt idx="6">
                  <c:v>-0.1333333333333333</c:v>
                </c:pt>
                <c:pt idx="7">
                  <c:v>-9.5238095238095233E-2</c:v>
                </c:pt>
                <c:pt idx="8">
                  <c:v>-2.8571428571428525E-2</c:v>
                </c:pt>
                <c:pt idx="9">
                  <c:v>-0.15238095238095228</c:v>
                </c:pt>
                <c:pt idx="10">
                  <c:v>-9.5238095238095233E-2</c:v>
                </c:pt>
                <c:pt idx="11">
                  <c:v>-0.15238095238095228</c:v>
                </c:pt>
                <c:pt idx="12">
                  <c:v>-6.6666666666666596E-2</c:v>
                </c:pt>
                <c:pt idx="13">
                  <c:v>-0.12380952380952376</c:v>
                </c:pt>
                <c:pt idx="14">
                  <c:v>-6.6666666666666596E-2</c:v>
                </c:pt>
                <c:pt idx="15">
                  <c:v>-0.10476190476190467</c:v>
                </c:pt>
                <c:pt idx="16">
                  <c:v>-5.7142857142857051E-2</c:v>
                </c:pt>
                <c:pt idx="17">
                  <c:v>-8.5714285714285687E-2</c:v>
                </c:pt>
                <c:pt idx="18">
                  <c:v>-0.17142857142857137</c:v>
                </c:pt>
                <c:pt idx="19">
                  <c:v>-6.6666666666666596E-2</c:v>
                </c:pt>
                <c:pt idx="20">
                  <c:v>-9.5238095238095233E-2</c:v>
                </c:pt>
                <c:pt idx="21">
                  <c:v>-9.5238095238095233E-2</c:v>
                </c:pt>
                <c:pt idx="22">
                  <c:v>-9.5238095238095233E-2</c:v>
                </c:pt>
                <c:pt idx="23">
                  <c:v>-0.10476190476190467</c:v>
                </c:pt>
                <c:pt idx="24">
                  <c:v>-6.6666666666666596E-2</c:v>
                </c:pt>
                <c:pt idx="25">
                  <c:v>-0.11428571428571421</c:v>
                </c:pt>
                <c:pt idx="26">
                  <c:v>-0.19047619047619047</c:v>
                </c:pt>
                <c:pt idx="27">
                  <c:v>-0.15238095238095228</c:v>
                </c:pt>
                <c:pt idx="28">
                  <c:v>-0.12380952380952376</c:v>
                </c:pt>
                <c:pt idx="29">
                  <c:v>-0.11428571428571421</c:v>
                </c:pt>
                <c:pt idx="30">
                  <c:v>-5.7142857142857051E-2</c:v>
                </c:pt>
                <c:pt idx="31">
                  <c:v>-8.5714285714285687E-2</c:v>
                </c:pt>
                <c:pt idx="32">
                  <c:v>-3.8095238095238071E-2</c:v>
                </c:pt>
                <c:pt idx="33">
                  <c:v>-0.15238095238095228</c:v>
                </c:pt>
                <c:pt idx="34">
                  <c:v>-0.19047619047619047</c:v>
                </c:pt>
                <c:pt idx="35">
                  <c:v>-0.11428571428571421</c:v>
                </c:pt>
                <c:pt idx="36">
                  <c:v>-8.5714285714285687E-2</c:v>
                </c:pt>
                <c:pt idx="37">
                  <c:v>-0.10476190476190467</c:v>
                </c:pt>
                <c:pt idx="38">
                  <c:v>-0.19047619047619047</c:v>
                </c:pt>
                <c:pt idx="39">
                  <c:v>-0.18095238095238092</c:v>
                </c:pt>
                <c:pt idx="40">
                  <c:v>-0.21904761904761899</c:v>
                </c:pt>
                <c:pt idx="41">
                  <c:v>-0.15238095238095228</c:v>
                </c:pt>
                <c:pt idx="42">
                  <c:v>-0.15238095238095228</c:v>
                </c:pt>
                <c:pt idx="43">
                  <c:v>-0.17142857142857137</c:v>
                </c:pt>
                <c:pt idx="44">
                  <c:v>-0.19047619047619047</c:v>
                </c:pt>
                <c:pt idx="45">
                  <c:v>-0.23809523809523808</c:v>
                </c:pt>
                <c:pt idx="46">
                  <c:v>-0.23809523809523808</c:v>
                </c:pt>
                <c:pt idx="47">
                  <c:v>-0.24761904761904752</c:v>
                </c:pt>
                <c:pt idx="48">
                  <c:v>-0.17142857142857137</c:v>
                </c:pt>
                <c:pt idx="49">
                  <c:v>-0.20952380952380945</c:v>
                </c:pt>
                <c:pt idx="50">
                  <c:v>-0.2857142857142857</c:v>
                </c:pt>
                <c:pt idx="51">
                  <c:v>-0.27619047619047615</c:v>
                </c:pt>
                <c:pt idx="52">
                  <c:v>-0.23809523809523808</c:v>
                </c:pt>
                <c:pt idx="53">
                  <c:v>-0.24761904761904752</c:v>
                </c:pt>
                <c:pt idx="54">
                  <c:v>-0.1333333333333333</c:v>
                </c:pt>
                <c:pt idx="55">
                  <c:v>-6.6666666666666596E-2</c:v>
                </c:pt>
                <c:pt idx="56">
                  <c:v>-2.8571428571428525E-2</c:v>
                </c:pt>
                <c:pt idx="57">
                  <c:v>0.18095238095238098</c:v>
                </c:pt>
                <c:pt idx="58">
                  <c:v>0.33333333333333337</c:v>
                </c:pt>
                <c:pt idx="59">
                  <c:v>0.35238095238095241</c:v>
                </c:pt>
                <c:pt idx="60">
                  <c:v>0.56190476190476202</c:v>
                </c:pt>
                <c:pt idx="61">
                  <c:v>0.66666666666666663</c:v>
                </c:pt>
                <c:pt idx="62">
                  <c:v>0.72380952380952379</c:v>
                </c:pt>
                <c:pt idx="63">
                  <c:v>0.78095238095238095</c:v>
                </c:pt>
                <c:pt idx="64">
                  <c:v>0.84761904761904772</c:v>
                </c:pt>
                <c:pt idx="65">
                  <c:v>0.90476190476190477</c:v>
                </c:pt>
                <c:pt idx="66">
                  <c:v>0.8666666666666667</c:v>
                </c:pt>
                <c:pt idx="67">
                  <c:v>0.89523809523809528</c:v>
                </c:pt>
                <c:pt idx="68">
                  <c:v>0.91428571428571426</c:v>
                </c:pt>
                <c:pt idx="69">
                  <c:v>0.92380952380952386</c:v>
                </c:pt>
                <c:pt idx="70">
                  <c:v>0.79047619047619055</c:v>
                </c:pt>
                <c:pt idx="71">
                  <c:v>0.72380952380952379</c:v>
                </c:pt>
                <c:pt idx="72">
                  <c:v>0.62857142857142856</c:v>
                </c:pt>
                <c:pt idx="73">
                  <c:v>0.60000000000000009</c:v>
                </c:pt>
                <c:pt idx="74">
                  <c:v>0.44761904761904764</c:v>
                </c:pt>
                <c:pt idx="75">
                  <c:v>0.36190476190476195</c:v>
                </c:pt>
                <c:pt idx="76">
                  <c:v>0.23809523809523817</c:v>
                </c:pt>
                <c:pt idx="77">
                  <c:v>8.5714285714285798E-2</c:v>
                </c:pt>
                <c:pt idx="78">
                  <c:v>1.9047619047619094E-2</c:v>
                </c:pt>
                <c:pt idx="79">
                  <c:v>-0.17142857142857137</c:v>
                </c:pt>
                <c:pt idx="80">
                  <c:v>-0.31428571428571422</c:v>
                </c:pt>
                <c:pt idx="81">
                  <c:v>-0.40952380952380946</c:v>
                </c:pt>
                <c:pt idx="82">
                  <c:v>-0.49523809523809531</c:v>
                </c:pt>
                <c:pt idx="83">
                  <c:v>-0.70476190476190459</c:v>
                </c:pt>
                <c:pt idx="84">
                  <c:v>-0.77142857142857135</c:v>
                </c:pt>
                <c:pt idx="85">
                  <c:v>-0.82857142857142863</c:v>
                </c:pt>
                <c:pt idx="86">
                  <c:v>-0.87619047619047619</c:v>
                </c:pt>
                <c:pt idx="87">
                  <c:v>-0.90476190476190477</c:v>
                </c:pt>
                <c:pt idx="88">
                  <c:v>-0.84761904761904749</c:v>
                </c:pt>
                <c:pt idx="89">
                  <c:v>-0.94285714285714273</c:v>
                </c:pt>
                <c:pt idx="90">
                  <c:v>-0.81904761904761891</c:v>
                </c:pt>
                <c:pt idx="91">
                  <c:v>-0.76190476190476186</c:v>
                </c:pt>
                <c:pt idx="92">
                  <c:v>-0.64761904761904754</c:v>
                </c:pt>
                <c:pt idx="93">
                  <c:v>-0.59047619047619049</c:v>
                </c:pt>
                <c:pt idx="94">
                  <c:v>-0.49523809523809531</c:v>
                </c:pt>
                <c:pt idx="95">
                  <c:v>-0.33333333333333331</c:v>
                </c:pt>
                <c:pt idx="96">
                  <c:v>-0.22857142857142854</c:v>
                </c:pt>
                <c:pt idx="97">
                  <c:v>-3.8095238095238071E-2</c:v>
                </c:pt>
                <c:pt idx="98">
                  <c:v>0.11428571428571434</c:v>
                </c:pt>
                <c:pt idx="99">
                  <c:v>0.15238095238095239</c:v>
                </c:pt>
                <c:pt idx="100">
                  <c:v>0.33333333333333337</c:v>
                </c:pt>
                <c:pt idx="101">
                  <c:v>0.45714285714285718</c:v>
                </c:pt>
                <c:pt idx="102">
                  <c:v>0.5714285714285714</c:v>
                </c:pt>
                <c:pt idx="103">
                  <c:v>0.76190476190476186</c:v>
                </c:pt>
                <c:pt idx="104">
                  <c:v>0.76190476190476186</c:v>
                </c:pt>
                <c:pt idx="105">
                  <c:v>0.88571428571428579</c:v>
                </c:pt>
                <c:pt idx="106">
                  <c:v>0.97142857142857142</c:v>
                </c:pt>
                <c:pt idx="107">
                  <c:v>1</c:v>
                </c:pt>
                <c:pt idx="108">
                  <c:v>0.89523809523809528</c:v>
                </c:pt>
                <c:pt idx="109">
                  <c:v>0.92380952380952386</c:v>
                </c:pt>
                <c:pt idx="110">
                  <c:v>0.88571428571428579</c:v>
                </c:pt>
                <c:pt idx="111">
                  <c:v>0.82857142857142863</c:v>
                </c:pt>
                <c:pt idx="112">
                  <c:v>0.82857142857142863</c:v>
                </c:pt>
                <c:pt idx="113">
                  <c:v>0.67619047619047623</c:v>
                </c:pt>
                <c:pt idx="114">
                  <c:v>0.60952380952380958</c:v>
                </c:pt>
                <c:pt idx="115">
                  <c:v>0.53333333333333333</c:v>
                </c:pt>
                <c:pt idx="116">
                  <c:v>0.43809523809523809</c:v>
                </c:pt>
                <c:pt idx="117">
                  <c:v>0.37142857142857144</c:v>
                </c:pt>
                <c:pt idx="118">
                  <c:v>0.26666666666666672</c:v>
                </c:pt>
                <c:pt idx="119">
                  <c:v>7.6190476190476253E-2</c:v>
                </c:pt>
                <c:pt idx="120">
                  <c:v>9.5238095238095472E-3</c:v>
                </c:pt>
                <c:pt idx="121">
                  <c:v>-0.11428571428571421</c:v>
                </c:pt>
                <c:pt idx="122">
                  <c:v>-0.37142857142857139</c:v>
                </c:pt>
                <c:pt idx="123">
                  <c:v>-0.42857142857142855</c:v>
                </c:pt>
                <c:pt idx="124">
                  <c:v>-0.55238095238095231</c:v>
                </c:pt>
                <c:pt idx="125">
                  <c:v>-0.64761904761904754</c:v>
                </c:pt>
                <c:pt idx="126">
                  <c:v>-0.77142857142857135</c:v>
                </c:pt>
                <c:pt idx="127">
                  <c:v>-0.838095238095238</c:v>
                </c:pt>
                <c:pt idx="128">
                  <c:v>-0.82857142857142863</c:v>
                </c:pt>
                <c:pt idx="129">
                  <c:v>-1</c:v>
                </c:pt>
                <c:pt idx="130">
                  <c:v>-0.89523809523809506</c:v>
                </c:pt>
                <c:pt idx="131">
                  <c:v>-0.93333333333333324</c:v>
                </c:pt>
                <c:pt idx="132">
                  <c:v>-0.8571428571428571</c:v>
                </c:pt>
                <c:pt idx="133">
                  <c:v>-0.81904761904761891</c:v>
                </c:pt>
                <c:pt idx="134">
                  <c:v>-0.64761904761904754</c:v>
                </c:pt>
                <c:pt idx="135">
                  <c:v>-0.62857142857142845</c:v>
                </c:pt>
                <c:pt idx="136">
                  <c:v>-0.42857142857142855</c:v>
                </c:pt>
                <c:pt idx="137">
                  <c:v>-0.36190476190476184</c:v>
                </c:pt>
                <c:pt idx="138">
                  <c:v>-0.18095238095238092</c:v>
                </c:pt>
                <c:pt idx="139">
                  <c:v>-0.12380952380952376</c:v>
                </c:pt>
                <c:pt idx="140">
                  <c:v>2.857142857142864E-2</c:v>
                </c:pt>
                <c:pt idx="141">
                  <c:v>8.5714285714285798E-2</c:v>
                </c:pt>
                <c:pt idx="142">
                  <c:v>0.30476190476190479</c:v>
                </c:pt>
                <c:pt idx="143">
                  <c:v>0.36190476190476195</c:v>
                </c:pt>
                <c:pt idx="144">
                  <c:v>0.56190476190476202</c:v>
                </c:pt>
                <c:pt idx="145">
                  <c:v>0.68571428571428572</c:v>
                </c:pt>
                <c:pt idx="146">
                  <c:v>0.73333333333333339</c:v>
                </c:pt>
                <c:pt idx="147">
                  <c:v>0.8571428571428571</c:v>
                </c:pt>
                <c:pt idx="148">
                  <c:v>0.81904761904761902</c:v>
                </c:pt>
                <c:pt idx="149">
                  <c:v>0.95238095238095233</c:v>
                </c:pt>
                <c:pt idx="150">
                  <c:v>0.8571428571428571</c:v>
                </c:pt>
                <c:pt idx="151">
                  <c:v>0.91428571428571426</c:v>
                </c:pt>
                <c:pt idx="152">
                  <c:v>0.96190476190476193</c:v>
                </c:pt>
                <c:pt idx="153">
                  <c:v>0.8666666666666667</c:v>
                </c:pt>
                <c:pt idx="154">
                  <c:v>0.81904761904761902</c:v>
                </c:pt>
                <c:pt idx="155">
                  <c:v>0.81904761904761902</c:v>
                </c:pt>
                <c:pt idx="156">
                  <c:v>0.68571428571428572</c:v>
                </c:pt>
                <c:pt idx="157">
                  <c:v>0.64761904761904765</c:v>
                </c:pt>
                <c:pt idx="158">
                  <c:v>0.54285714285714293</c:v>
                </c:pt>
                <c:pt idx="159">
                  <c:v>0.38095238095238099</c:v>
                </c:pt>
                <c:pt idx="160">
                  <c:v>0.22857142857142859</c:v>
                </c:pt>
                <c:pt idx="161">
                  <c:v>0.2</c:v>
                </c:pt>
                <c:pt idx="162">
                  <c:v>6.6666666666666707E-2</c:v>
                </c:pt>
                <c:pt idx="163">
                  <c:v>-0.1333333333333333</c:v>
                </c:pt>
                <c:pt idx="164">
                  <c:v>-0.19047619047619047</c:v>
                </c:pt>
                <c:pt idx="165">
                  <c:v>-0.31428571428571422</c:v>
                </c:pt>
                <c:pt idx="166">
                  <c:v>-0.46666666666666651</c:v>
                </c:pt>
                <c:pt idx="167">
                  <c:v>-0.54285714285714293</c:v>
                </c:pt>
                <c:pt idx="168">
                  <c:v>-0.67619047619047612</c:v>
                </c:pt>
                <c:pt idx="169">
                  <c:v>-0.77142857142857135</c:v>
                </c:pt>
                <c:pt idx="170">
                  <c:v>-0.81904761904761891</c:v>
                </c:pt>
                <c:pt idx="171">
                  <c:v>-0.89523809523809506</c:v>
                </c:pt>
                <c:pt idx="172">
                  <c:v>-0.87619047619047619</c:v>
                </c:pt>
                <c:pt idx="173">
                  <c:v>-0.81904761904761891</c:v>
                </c:pt>
                <c:pt idx="174">
                  <c:v>-0.8571428571428571</c:v>
                </c:pt>
                <c:pt idx="175">
                  <c:v>-0.80952380952380953</c:v>
                </c:pt>
                <c:pt idx="176">
                  <c:v>-0.78095238095238095</c:v>
                </c:pt>
                <c:pt idx="177">
                  <c:v>-0.72380952380952368</c:v>
                </c:pt>
                <c:pt idx="178">
                  <c:v>-0.64761904761904754</c:v>
                </c:pt>
                <c:pt idx="179">
                  <c:v>-0.4857142857142856</c:v>
                </c:pt>
                <c:pt idx="180">
                  <c:v>-0.41904761904761889</c:v>
                </c:pt>
                <c:pt idx="181">
                  <c:v>-0.2857142857142857</c:v>
                </c:pt>
                <c:pt idx="182">
                  <c:v>-9.5238095238095233E-2</c:v>
                </c:pt>
                <c:pt idx="183">
                  <c:v>9.5238095238095472E-3</c:v>
                </c:pt>
                <c:pt idx="184">
                  <c:v>8.5714285714285798E-2</c:v>
                </c:pt>
                <c:pt idx="185">
                  <c:v>0.32380952380952382</c:v>
                </c:pt>
                <c:pt idx="186">
                  <c:v>0.48571428571428571</c:v>
                </c:pt>
                <c:pt idx="187">
                  <c:v>0.59047619047619049</c:v>
                </c:pt>
                <c:pt idx="188">
                  <c:v>0.56190476190476202</c:v>
                </c:pt>
                <c:pt idx="189">
                  <c:v>0.74285714285714288</c:v>
                </c:pt>
                <c:pt idx="190">
                  <c:v>0.78095238095238095</c:v>
                </c:pt>
                <c:pt idx="191">
                  <c:v>0.88571428571428579</c:v>
                </c:pt>
                <c:pt idx="192">
                  <c:v>0.84761904761904772</c:v>
                </c:pt>
                <c:pt idx="193">
                  <c:v>0.84761904761904772</c:v>
                </c:pt>
                <c:pt idx="194">
                  <c:v>0.91428571428571426</c:v>
                </c:pt>
                <c:pt idx="195">
                  <c:v>0.8571428571428571</c:v>
                </c:pt>
                <c:pt idx="196">
                  <c:v>0.8571428571428571</c:v>
                </c:pt>
                <c:pt idx="197">
                  <c:v>0.8666666666666667</c:v>
                </c:pt>
                <c:pt idx="198">
                  <c:v>0.8</c:v>
                </c:pt>
                <c:pt idx="199">
                  <c:v>0.7142857142857143</c:v>
                </c:pt>
                <c:pt idx="200">
                  <c:v>0.67619047619047623</c:v>
                </c:pt>
                <c:pt idx="201">
                  <c:v>0.51428571428571435</c:v>
                </c:pt>
                <c:pt idx="202">
                  <c:v>0.45714285714285718</c:v>
                </c:pt>
                <c:pt idx="203">
                  <c:v>0.4285714285714286</c:v>
                </c:pt>
                <c:pt idx="204">
                  <c:v>0.26666666666666672</c:v>
                </c:pt>
                <c:pt idx="205">
                  <c:v>0.11428571428571434</c:v>
                </c:pt>
                <c:pt idx="206">
                  <c:v>2.857142857142864E-2</c:v>
                </c:pt>
                <c:pt idx="207">
                  <c:v>-0.17142857142857137</c:v>
                </c:pt>
                <c:pt idx="208">
                  <c:v>-0.29523809523809513</c:v>
                </c:pt>
                <c:pt idx="209">
                  <c:v>-0.45714285714285707</c:v>
                </c:pt>
                <c:pt idx="210">
                  <c:v>-0.49523809523809531</c:v>
                </c:pt>
                <c:pt idx="211">
                  <c:v>-0.62857142857142845</c:v>
                </c:pt>
                <c:pt idx="212">
                  <c:v>-0.69523809523809521</c:v>
                </c:pt>
                <c:pt idx="213">
                  <c:v>-0.84761904761904749</c:v>
                </c:pt>
                <c:pt idx="214">
                  <c:v>-0.72380952380952368</c:v>
                </c:pt>
                <c:pt idx="215">
                  <c:v>-0.89523809523809506</c:v>
                </c:pt>
                <c:pt idx="216">
                  <c:v>-0.93333333333333324</c:v>
                </c:pt>
                <c:pt idx="217">
                  <c:v>-0.81904761904761891</c:v>
                </c:pt>
                <c:pt idx="218">
                  <c:v>-0.88571428571428568</c:v>
                </c:pt>
                <c:pt idx="219">
                  <c:v>-0.82857142857142863</c:v>
                </c:pt>
                <c:pt idx="220">
                  <c:v>-0.78095238095238095</c:v>
                </c:pt>
                <c:pt idx="221">
                  <c:v>-0.78095238095238095</c:v>
                </c:pt>
                <c:pt idx="222">
                  <c:v>-0.60952380952380936</c:v>
                </c:pt>
                <c:pt idx="223">
                  <c:v>-0.51428571428571412</c:v>
                </c:pt>
                <c:pt idx="224">
                  <c:v>-0.40952380952380946</c:v>
                </c:pt>
                <c:pt idx="225">
                  <c:v>-0.27619047619047615</c:v>
                </c:pt>
                <c:pt idx="226">
                  <c:v>-0.20952380952380945</c:v>
                </c:pt>
                <c:pt idx="227">
                  <c:v>6.6666666666666707E-2</c:v>
                </c:pt>
                <c:pt idx="228">
                  <c:v>0.13333333333333336</c:v>
                </c:pt>
                <c:pt idx="229">
                  <c:v>0.15238095238095239</c:v>
                </c:pt>
                <c:pt idx="230">
                  <c:v>0.24761904761904766</c:v>
                </c:pt>
                <c:pt idx="231">
                  <c:v>0.23809523809523817</c:v>
                </c:pt>
                <c:pt idx="232">
                  <c:v>0.24761904761904766</c:v>
                </c:pt>
                <c:pt idx="233">
                  <c:v>0.26666666666666672</c:v>
                </c:pt>
                <c:pt idx="234">
                  <c:v>0.17142857142857149</c:v>
                </c:pt>
                <c:pt idx="235">
                  <c:v>0.11428571428571434</c:v>
                </c:pt>
                <c:pt idx="236">
                  <c:v>0</c:v>
                </c:pt>
                <c:pt idx="237">
                  <c:v>-6.6666666666666596E-2</c:v>
                </c:pt>
                <c:pt idx="238">
                  <c:v>-8.5714285714285687E-2</c:v>
                </c:pt>
                <c:pt idx="239">
                  <c:v>-0.12380952380952376</c:v>
                </c:pt>
                <c:pt idx="240">
                  <c:v>-0.26666666666666661</c:v>
                </c:pt>
                <c:pt idx="241">
                  <c:v>-0.18095238095238092</c:v>
                </c:pt>
                <c:pt idx="242">
                  <c:v>-0.11428571428571421</c:v>
                </c:pt>
                <c:pt idx="243">
                  <c:v>-0.23809523809523808</c:v>
                </c:pt>
                <c:pt idx="244">
                  <c:v>-0.20952380952380945</c:v>
                </c:pt>
                <c:pt idx="245">
                  <c:v>-0.18095238095238092</c:v>
                </c:pt>
                <c:pt idx="246">
                  <c:v>-0.18095238095238092</c:v>
                </c:pt>
                <c:pt idx="247">
                  <c:v>-0.1333333333333333</c:v>
                </c:pt>
                <c:pt idx="248">
                  <c:v>-4.7619047619047616E-2</c:v>
                </c:pt>
                <c:pt idx="249">
                  <c:v>-3.8095238095238071E-2</c:v>
                </c:pt>
                <c:pt idx="250">
                  <c:v>-6.6666666666666596E-2</c:v>
                </c:pt>
                <c:pt idx="251">
                  <c:v>-3.8095238095238071E-2</c:v>
                </c:pt>
                <c:pt idx="252">
                  <c:v>-0.12380952380952376</c:v>
                </c:pt>
                <c:pt idx="253">
                  <c:v>-8.5714285714285687E-2</c:v>
                </c:pt>
                <c:pt idx="254">
                  <c:v>-6.6666666666666596E-2</c:v>
                </c:pt>
                <c:pt idx="255">
                  <c:v>-8.5714285714285687E-2</c:v>
                </c:pt>
                <c:pt idx="256">
                  <c:v>-0.12380952380952376</c:v>
                </c:pt>
                <c:pt idx="257">
                  <c:v>-3.8095238095238071E-2</c:v>
                </c:pt>
                <c:pt idx="258">
                  <c:v>-0.11428571428571421</c:v>
                </c:pt>
                <c:pt idx="259">
                  <c:v>-0.15238095238095228</c:v>
                </c:pt>
                <c:pt idx="260">
                  <c:v>-5.7142857142857051E-2</c:v>
                </c:pt>
                <c:pt idx="261">
                  <c:v>-5.7142857142857051E-2</c:v>
                </c:pt>
                <c:pt idx="262">
                  <c:v>-4.7619047619047616E-2</c:v>
                </c:pt>
                <c:pt idx="263">
                  <c:v>-0.1333333333333333</c:v>
                </c:pt>
                <c:pt idx="264">
                  <c:v>-6.6666666666666596E-2</c:v>
                </c:pt>
                <c:pt idx="265">
                  <c:v>-9.5238095238094327E-3</c:v>
                </c:pt>
                <c:pt idx="266">
                  <c:v>-8.5714285714285687E-2</c:v>
                </c:pt>
                <c:pt idx="267">
                  <c:v>-3.8095238095238071E-2</c:v>
                </c:pt>
                <c:pt idx="268">
                  <c:v>-3.8095238095238071E-2</c:v>
                </c:pt>
                <c:pt idx="269">
                  <c:v>-0.1333333333333333</c:v>
                </c:pt>
                <c:pt idx="270">
                  <c:v>-5.7142857142857051E-2</c:v>
                </c:pt>
                <c:pt idx="271">
                  <c:v>8.5714285714285798E-2</c:v>
                </c:pt>
                <c:pt idx="272">
                  <c:v>-0.1333333333333333</c:v>
                </c:pt>
                <c:pt idx="273">
                  <c:v>-9.5238095238095233E-2</c:v>
                </c:pt>
                <c:pt idx="274">
                  <c:v>-9.5238095238095233E-2</c:v>
                </c:pt>
                <c:pt idx="275">
                  <c:v>-4.7619047619047616E-2</c:v>
                </c:pt>
                <c:pt idx="276">
                  <c:v>-0.16190476190476183</c:v>
                </c:pt>
                <c:pt idx="277">
                  <c:v>0</c:v>
                </c:pt>
                <c:pt idx="278">
                  <c:v>1.9047619047619094E-2</c:v>
                </c:pt>
                <c:pt idx="279">
                  <c:v>-3.8095238095238071E-2</c:v>
                </c:pt>
                <c:pt idx="280">
                  <c:v>-8.5714285714285687E-2</c:v>
                </c:pt>
                <c:pt idx="281">
                  <c:v>-9.5238095238094327E-3</c:v>
                </c:pt>
                <c:pt idx="282">
                  <c:v>9.5238095238095472E-3</c:v>
                </c:pt>
                <c:pt idx="283">
                  <c:v>-8.5714285714285687E-2</c:v>
                </c:pt>
                <c:pt idx="284">
                  <c:v>-5.7142857142857051E-2</c:v>
                </c:pt>
                <c:pt idx="285">
                  <c:v>-6.6666666666666596E-2</c:v>
                </c:pt>
                <c:pt idx="286">
                  <c:v>-5.7142857142857051E-2</c:v>
                </c:pt>
                <c:pt idx="287">
                  <c:v>8.5714285714285798E-2</c:v>
                </c:pt>
                <c:pt idx="288">
                  <c:v>0.12380952380952388</c:v>
                </c:pt>
                <c:pt idx="289">
                  <c:v>9.5238095238095472E-3</c:v>
                </c:pt>
                <c:pt idx="290">
                  <c:v>-3.8095238095238071E-2</c:v>
                </c:pt>
                <c:pt idx="291">
                  <c:v>-3.8095238095238071E-2</c:v>
                </c:pt>
                <c:pt idx="292">
                  <c:v>-4.7619047619047616E-2</c:v>
                </c:pt>
                <c:pt idx="293">
                  <c:v>9.5238095238095472E-3</c:v>
                </c:pt>
                <c:pt idx="294">
                  <c:v>9.5238095238095472E-3</c:v>
                </c:pt>
                <c:pt idx="295">
                  <c:v>-9.5238095238095233E-2</c:v>
                </c:pt>
                <c:pt idx="296">
                  <c:v>1.9047619047619094E-2</c:v>
                </c:pt>
                <c:pt idx="297">
                  <c:v>-6.6666666666666596E-2</c:v>
                </c:pt>
                <c:pt idx="298">
                  <c:v>-9.5238095238095233E-2</c:v>
                </c:pt>
                <c:pt idx="299">
                  <c:v>-8.5714285714285687E-2</c:v>
                </c:pt>
                <c:pt idx="300">
                  <c:v>-0.17142857142857137</c:v>
                </c:pt>
                <c:pt idx="301">
                  <c:v>-0.10476190476190467</c:v>
                </c:pt>
                <c:pt idx="302">
                  <c:v>-0.15238095238095228</c:v>
                </c:pt>
                <c:pt idx="303">
                  <c:v>-0.23809523809523808</c:v>
                </c:pt>
                <c:pt idx="304">
                  <c:v>-0.24761904761904752</c:v>
                </c:pt>
                <c:pt idx="305">
                  <c:v>-0.18095238095238092</c:v>
                </c:pt>
                <c:pt idx="306">
                  <c:v>-0.24761904761904752</c:v>
                </c:pt>
                <c:pt idx="307">
                  <c:v>-0.2857142857142857</c:v>
                </c:pt>
                <c:pt idx="308">
                  <c:v>-0.18095238095238092</c:v>
                </c:pt>
                <c:pt idx="309">
                  <c:v>-0.20952380952380945</c:v>
                </c:pt>
                <c:pt idx="310">
                  <c:v>-0.22857142857142854</c:v>
                </c:pt>
                <c:pt idx="311">
                  <c:v>-0.22857142857142854</c:v>
                </c:pt>
                <c:pt idx="312">
                  <c:v>-0.17142857142857137</c:v>
                </c:pt>
                <c:pt idx="313">
                  <c:v>-0.20952380952380945</c:v>
                </c:pt>
                <c:pt idx="314">
                  <c:v>-0.21904761904761899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DF-4A36-8FD6-1475F736B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578424"/>
        <c:axId val="853578784"/>
      </c:scatterChart>
      <c:valAx>
        <c:axId val="853578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78784"/>
        <c:crosses val="autoZero"/>
        <c:crossBetween val="midCat"/>
      </c:valAx>
      <c:valAx>
        <c:axId val="85357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578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131233595800528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'data_Lab6_2025-09-29_132005'!$O$2:$O$316</c:f>
              <c:numCache>
                <c:formatCode>General</c:formatCode>
                <c:ptCount val="315"/>
                <c:pt idx="0">
                  <c:v>0.90990990990991005</c:v>
                </c:pt>
                <c:pt idx="1">
                  <c:v>0.87387387387387394</c:v>
                </c:pt>
                <c:pt idx="2">
                  <c:v>0.90090090090090102</c:v>
                </c:pt>
                <c:pt idx="3">
                  <c:v>0.95495495495495508</c:v>
                </c:pt>
                <c:pt idx="4">
                  <c:v>0.89189189189189211</c:v>
                </c:pt>
                <c:pt idx="5">
                  <c:v>0.84684684684684697</c:v>
                </c:pt>
                <c:pt idx="6">
                  <c:v>0.90990990990991005</c:v>
                </c:pt>
                <c:pt idx="7">
                  <c:v>0.97297297297297303</c:v>
                </c:pt>
                <c:pt idx="8">
                  <c:v>0.95495495495495508</c:v>
                </c:pt>
                <c:pt idx="9">
                  <c:v>0.91891891891891908</c:v>
                </c:pt>
                <c:pt idx="10">
                  <c:v>0.93693693693693714</c:v>
                </c:pt>
                <c:pt idx="11">
                  <c:v>0.87387387387387394</c:v>
                </c:pt>
                <c:pt idx="12">
                  <c:v>0.89189189189189211</c:v>
                </c:pt>
                <c:pt idx="13">
                  <c:v>0.81081081081081086</c:v>
                </c:pt>
                <c:pt idx="14">
                  <c:v>0.90990990990991005</c:v>
                </c:pt>
                <c:pt idx="15">
                  <c:v>0.85585585585585588</c:v>
                </c:pt>
                <c:pt idx="16">
                  <c:v>0.85585585585585588</c:v>
                </c:pt>
                <c:pt idx="17">
                  <c:v>0.91891891891891908</c:v>
                </c:pt>
                <c:pt idx="18">
                  <c:v>0.90090090090090102</c:v>
                </c:pt>
                <c:pt idx="19">
                  <c:v>0.93693693693693714</c:v>
                </c:pt>
                <c:pt idx="20">
                  <c:v>0.90990990990991005</c:v>
                </c:pt>
                <c:pt idx="21">
                  <c:v>0.95495495495495508</c:v>
                </c:pt>
                <c:pt idx="22">
                  <c:v>0.86486486486486491</c:v>
                </c:pt>
                <c:pt idx="23">
                  <c:v>0.94594594594594605</c:v>
                </c:pt>
                <c:pt idx="24">
                  <c:v>0.86486486486486491</c:v>
                </c:pt>
                <c:pt idx="25">
                  <c:v>0.86486486486486491</c:v>
                </c:pt>
                <c:pt idx="26">
                  <c:v>0.90090090090090102</c:v>
                </c:pt>
                <c:pt idx="27">
                  <c:v>0.85585585585585588</c:v>
                </c:pt>
                <c:pt idx="28">
                  <c:v>0.83783783783783783</c:v>
                </c:pt>
                <c:pt idx="29">
                  <c:v>0.86486486486486491</c:v>
                </c:pt>
                <c:pt idx="30">
                  <c:v>0.83783783783783783</c:v>
                </c:pt>
                <c:pt idx="31">
                  <c:v>0.94594594594594605</c:v>
                </c:pt>
                <c:pt idx="32">
                  <c:v>0.87387387387387394</c:v>
                </c:pt>
                <c:pt idx="33">
                  <c:v>0.96396396396396411</c:v>
                </c:pt>
                <c:pt idx="34">
                  <c:v>0.83783783783783783</c:v>
                </c:pt>
                <c:pt idx="35">
                  <c:v>0.93693693693693714</c:v>
                </c:pt>
                <c:pt idx="36">
                  <c:v>0.90090090090090102</c:v>
                </c:pt>
                <c:pt idx="37">
                  <c:v>0.90090090090090102</c:v>
                </c:pt>
                <c:pt idx="38">
                  <c:v>0.76576576576576583</c:v>
                </c:pt>
                <c:pt idx="39">
                  <c:v>0.90990990990991005</c:v>
                </c:pt>
                <c:pt idx="40">
                  <c:v>0.91891891891891908</c:v>
                </c:pt>
                <c:pt idx="41">
                  <c:v>0.91891891891891908</c:v>
                </c:pt>
                <c:pt idx="42">
                  <c:v>0.81081081081081086</c:v>
                </c:pt>
                <c:pt idx="43">
                  <c:v>0.83783783783783783</c:v>
                </c:pt>
                <c:pt idx="44">
                  <c:v>0.87387387387387394</c:v>
                </c:pt>
                <c:pt idx="45">
                  <c:v>0.91891891891891908</c:v>
                </c:pt>
                <c:pt idx="46">
                  <c:v>0.99099099099099108</c:v>
                </c:pt>
                <c:pt idx="47">
                  <c:v>0.86486486486486491</c:v>
                </c:pt>
                <c:pt idx="48">
                  <c:v>0.91891891891891908</c:v>
                </c:pt>
                <c:pt idx="49">
                  <c:v>0.84684684684684697</c:v>
                </c:pt>
                <c:pt idx="50">
                  <c:v>0.85585585585585588</c:v>
                </c:pt>
                <c:pt idx="51">
                  <c:v>0.84684684684684697</c:v>
                </c:pt>
                <c:pt idx="52">
                  <c:v>0.90090090090090102</c:v>
                </c:pt>
                <c:pt idx="53">
                  <c:v>0.93693693693693714</c:v>
                </c:pt>
                <c:pt idx="54">
                  <c:v>0.84684684684684697</c:v>
                </c:pt>
                <c:pt idx="55">
                  <c:v>0.86486486486486491</c:v>
                </c:pt>
                <c:pt idx="56">
                  <c:v>0.86486486486486491</c:v>
                </c:pt>
                <c:pt idx="57">
                  <c:v>0.95495495495495508</c:v>
                </c:pt>
                <c:pt idx="58">
                  <c:v>0.77477477477477485</c:v>
                </c:pt>
                <c:pt idx="59">
                  <c:v>0.83783783783783783</c:v>
                </c:pt>
                <c:pt idx="60">
                  <c:v>0.73873873873873885</c:v>
                </c:pt>
                <c:pt idx="61">
                  <c:v>0.77477477477477485</c:v>
                </c:pt>
                <c:pt idx="62">
                  <c:v>0.57657657657657657</c:v>
                </c:pt>
                <c:pt idx="63">
                  <c:v>0.50450450450450457</c:v>
                </c:pt>
                <c:pt idx="64">
                  <c:v>0.3243243243243244</c:v>
                </c:pt>
                <c:pt idx="65">
                  <c:v>0.1801801801801802</c:v>
                </c:pt>
                <c:pt idx="66">
                  <c:v>0.12612612612612611</c:v>
                </c:pt>
                <c:pt idx="67">
                  <c:v>0</c:v>
                </c:pt>
                <c:pt idx="68">
                  <c:v>-0.19819819819819814</c:v>
                </c:pt>
                <c:pt idx="69">
                  <c:v>-0.38738738738738748</c:v>
                </c:pt>
                <c:pt idx="70">
                  <c:v>-0.34234234234234245</c:v>
                </c:pt>
                <c:pt idx="71">
                  <c:v>-0.58558558558558549</c:v>
                </c:pt>
                <c:pt idx="72">
                  <c:v>-0.63963963963963977</c:v>
                </c:pt>
                <c:pt idx="73">
                  <c:v>-0.69369369369369371</c:v>
                </c:pt>
                <c:pt idx="74">
                  <c:v>-0.79279279279279291</c:v>
                </c:pt>
                <c:pt idx="75">
                  <c:v>-0.74774774774774788</c:v>
                </c:pt>
                <c:pt idx="76">
                  <c:v>-0.93693693693693703</c:v>
                </c:pt>
                <c:pt idx="77">
                  <c:v>-0.85585585585585577</c:v>
                </c:pt>
                <c:pt idx="78">
                  <c:v>-0.99099099099099108</c:v>
                </c:pt>
                <c:pt idx="79">
                  <c:v>-0.87387387387387383</c:v>
                </c:pt>
                <c:pt idx="80">
                  <c:v>-0.94594594594594594</c:v>
                </c:pt>
                <c:pt idx="81">
                  <c:v>-0.81081081081081074</c:v>
                </c:pt>
                <c:pt idx="82">
                  <c:v>-0.81081081081081074</c:v>
                </c:pt>
                <c:pt idx="83">
                  <c:v>-0.70270270270270285</c:v>
                </c:pt>
                <c:pt idx="84">
                  <c:v>-0.55855855855855852</c:v>
                </c:pt>
                <c:pt idx="85">
                  <c:v>-0.34234234234234245</c:v>
                </c:pt>
                <c:pt idx="86">
                  <c:v>-0.25225225225225223</c:v>
                </c:pt>
                <c:pt idx="87">
                  <c:v>-0.1801801801801802</c:v>
                </c:pt>
                <c:pt idx="88">
                  <c:v>-1.8018018018017955E-2</c:v>
                </c:pt>
                <c:pt idx="89">
                  <c:v>0.20720720720720723</c:v>
                </c:pt>
                <c:pt idx="90">
                  <c:v>0.35135135135135143</c:v>
                </c:pt>
                <c:pt idx="91">
                  <c:v>0.49549549549549554</c:v>
                </c:pt>
                <c:pt idx="92">
                  <c:v>0.6216216216216216</c:v>
                </c:pt>
                <c:pt idx="93">
                  <c:v>0.65765765765765782</c:v>
                </c:pt>
                <c:pt idx="94">
                  <c:v>0.77477477477477485</c:v>
                </c:pt>
                <c:pt idx="95">
                  <c:v>0.81081081081081086</c:v>
                </c:pt>
                <c:pt idx="96">
                  <c:v>0.93693693693693714</c:v>
                </c:pt>
                <c:pt idx="97">
                  <c:v>0.99099099099099108</c:v>
                </c:pt>
                <c:pt idx="98">
                  <c:v>0.93693693693693714</c:v>
                </c:pt>
                <c:pt idx="99">
                  <c:v>0.90990990990991005</c:v>
                </c:pt>
                <c:pt idx="100">
                  <c:v>0.86486486486486491</c:v>
                </c:pt>
                <c:pt idx="101">
                  <c:v>0.76576576576576583</c:v>
                </c:pt>
                <c:pt idx="102">
                  <c:v>0.7207207207207208</c:v>
                </c:pt>
                <c:pt idx="103">
                  <c:v>0.61261261261261268</c:v>
                </c:pt>
                <c:pt idx="104">
                  <c:v>0.56756756756756765</c:v>
                </c:pt>
                <c:pt idx="105">
                  <c:v>0.40540540540540543</c:v>
                </c:pt>
                <c:pt idx="106">
                  <c:v>0.31531531531531537</c:v>
                </c:pt>
                <c:pt idx="107">
                  <c:v>0.16216216216216223</c:v>
                </c:pt>
                <c:pt idx="108">
                  <c:v>1.8018018018018063E-2</c:v>
                </c:pt>
                <c:pt idx="109">
                  <c:v>-3.6036036036036015E-2</c:v>
                </c:pt>
                <c:pt idx="110">
                  <c:v>-0.17117117117117117</c:v>
                </c:pt>
                <c:pt idx="111">
                  <c:v>-0.28828828828828823</c:v>
                </c:pt>
                <c:pt idx="112">
                  <c:v>-0.45945945945945954</c:v>
                </c:pt>
                <c:pt idx="113">
                  <c:v>-0.49549549549549543</c:v>
                </c:pt>
                <c:pt idx="114">
                  <c:v>-0.70270270270270285</c:v>
                </c:pt>
                <c:pt idx="115">
                  <c:v>-0.78378378378378377</c:v>
                </c:pt>
                <c:pt idx="116">
                  <c:v>-0.87387387387387383</c:v>
                </c:pt>
                <c:pt idx="117">
                  <c:v>-0.891891891891892</c:v>
                </c:pt>
                <c:pt idx="118">
                  <c:v>-0.88288288288288297</c:v>
                </c:pt>
                <c:pt idx="119">
                  <c:v>-0.93693693693693703</c:v>
                </c:pt>
                <c:pt idx="120">
                  <c:v>-0.891891891891892</c:v>
                </c:pt>
                <c:pt idx="121">
                  <c:v>-0.92792792792792811</c:v>
                </c:pt>
                <c:pt idx="122">
                  <c:v>-0.87387387387387383</c:v>
                </c:pt>
                <c:pt idx="123">
                  <c:v>-0.72972972972972983</c:v>
                </c:pt>
                <c:pt idx="124">
                  <c:v>-0.7567567567567568</c:v>
                </c:pt>
                <c:pt idx="125">
                  <c:v>-0.72072072072072069</c:v>
                </c:pt>
                <c:pt idx="126">
                  <c:v>-0.50450450450450457</c:v>
                </c:pt>
                <c:pt idx="127">
                  <c:v>-0.42342342342342337</c:v>
                </c:pt>
                <c:pt idx="128">
                  <c:v>-0.34234234234234245</c:v>
                </c:pt>
                <c:pt idx="129">
                  <c:v>-9.00900900900901E-2</c:v>
                </c:pt>
                <c:pt idx="130">
                  <c:v>9.0090090090090315E-3</c:v>
                </c:pt>
                <c:pt idx="131">
                  <c:v>0.27927927927927931</c:v>
                </c:pt>
                <c:pt idx="132">
                  <c:v>0.35135135135135143</c:v>
                </c:pt>
                <c:pt idx="133">
                  <c:v>0.45945945945945954</c:v>
                </c:pt>
                <c:pt idx="134">
                  <c:v>0.55855855855855863</c:v>
                </c:pt>
                <c:pt idx="135">
                  <c:v>0.70270270270270285</c:v>
                </c:pt>
                <c:pt idx="136">
                  <c:v>0.73873873873873885</c:v>
                </c:pt>
                <c:pt idx="137">
                  <c:v>0.86486486486486491</c:v>
                </c:pt>
                <c:pt idx="138">
                  <c:v>0.93693693693693714</c:v>
                </c:pt>
                <c:pt idx="139">
                  <c:v>0.90090090090090102</c:v>
                </c:pt>
                <c:pt idx="140">
                  <c:v>0.87387387387387394</c:v>
                </c:pt>
                <c:pt idx="141">
                  <c:v>0.86486486486486491</c:v>
                </c:pt>
                <c:pt idx="142">
                  <c:v>0.90090090090090102</c:v>
                </c:pt>
                <c:pt idx="143">
                  <c:v>0.81981981981981988</c:v>
                </c:pt>
                <c:pt idx="144">
                  <c:v>0.77477477477477485</c:v>
                </c:pt>
                <c:pt idx="145">
                  <c:v>0.73873873873873885</c:v>
                </c:pt>
                <c:pt idx="146">
                  <c:v>0.5495495495495496</c:v>
                </c:pt>
                <c:pt idx="147">
                  <c:v>0.40540540540540543</c:v>
                </c:pt>
                <c:pt idx="148">
                  <c:v>0.29729729729729731</c:v>
                </c:pt>
                <c:pt idx="149">
                  <c:v>0.20720720720720723</c:v>
                </c:pt>
                <c:pt idx="150">
                  <c:v>9.9099099099099128E-2</c:v>
                </c:pt>
                <c:pt idx="151">
                  <c:v>-9.00900900900901E-2</c:v>
                </c:pt>
                <c:pt idx="152">
                  <c:v>-0.15315315315315312</c:v>
                </c:pt>
                <c:pt idx="153">
                  <c:v>-0.28828828828828823</c:v>
                </c:pt>
                <c:pt idx="154">
                  <c:v>-0.34234234234234245</c:v>
                </c:pt>
                <c:pt idx="155">
                  <c:v>-0.49549549549549543</c:v>
                </c:pt>
                <c:pt idx="156">
                  <c:v>-0.6216216216216216</c:v>
                </c:pt>
                <c:pt idx="157">
                  <c:v>-0.65765765765765782</c:v>
                </c:pt>
                <c:pt idx="158">
                  <c:v>-0.85585585585585577</c:v>
                </c:pt>
                <c:pt idx="159">
                  <c:v>-0.85585585585585577</c:v>
                </c:pt>
                <c:pt idx="160">
                  <c:v>-0.92792792792792811</c:v>
                </c:pt>
                <c:pt idx="161">
                  <c:v>-0.88288288288288297</c:v>
                </c:pt>
                <c:pt idx="162">
                  <c:v>-0.90090090090090091</c:v>
                </c:pt>
                <c:pt idx="163">
                  <c:v>-0.88288288288288297</c:v>
                </c:pt>
                <c:pt idx="164">
                  <c:v>-1</c:v>
                </c:pt>
                <c:pt idx="165">
                  <c:v>-0.88288288288288297</c:v>
                </c:pt>
                <c:pt idx="166">
                  <c:v>-0.78378378378378377</c:v>
                </c:pt>
                <c:pt idx="167">
                  <c:v>-0.70270270270270285</c:v>
                </c:pt>
                <c:pt idx="168">
                  <c:v>-0.65765765765765782</c:v>
                </c:pt>
                <c:pt idx="169">
                  <c:v>-0.45945945945945954</c:v>
                </c:pt>
                <c:pt idx="170">
                  <c:v>-0.37837837837837834</c:v>
                </c:pt>
                <c:pt idx="171">
                  <c:v>-0.18918918918918923</c:v>
                </c:pt>
                <c:pt idx="172">
                  <c:v>-3.6036036036036015E-2</c:v>
                </c:pt>
                <c:pt idx="173">
                  <c:v>1.8018018018018063E-2</c:v>
                </c:pt>
                <c:pt idx="174">
                  <c:v>0.19819819819819826</c:v>
                </c:pt>
                <c:pt idx="175">
                  <c:v>0.31531531531531537</c:v>
                </c:pt>
                <c:pt idx="176">
                  <c:v>0.46846846846846857</c:v>
                </c:pt>
                <c:pt idx="177">
                  <c:v>0.59459459459459463</c:v>
                </c:pt>
                <c:pt idx="178">
                  <c:v>0.74774774774774788</c:v>
                </c:pt>
                <c:pt idx="179">
                  <c:v>0.70270270270270285</c:v>
                </c:pt>
                <c:pt idx="180">
                  <c:v>0.81081081081081086</c:v>
                </c:pt>
                <c:pt idx="181">
                  <c:v>0.83783783783783783</c:v>
                </c:pt>
                <c:pt idx="182">
                  <c:v>0.93693693693693714</c:v>
                </c:pt>
                <c:pt idx="183">
                  <c:v>0.94594594594594605</c:v>
                </c:pt>
                <c:pt idx="184">
                  <c:v>0.86486486486486491</c:v>
                </c:pt>
                <c:pt idx="185">
                  <c:v>0.90090090090090102</c:v>
                </c:pt>
                <c:pt idx="186">
                  <c:v>0.87387387387387394</c:v>
                </c:pt>
                <c:pt idx="187">
                  <c:v>0.77477477477477485</c:v>
                </c:pt>
                <c:pt idx="188">
                  <c:v>0.63063063063063074</c:v>
                </c:pt>
                <c:pt idx="189">
                  <c:v>0.5135135135135136</c:v>
                </c:pt>
                <c:pt idx="190">
                  <c:v>0.47747747747747754</c:v>
                </c:pt>
                <c:pt idx="191">
                  <c:v>0.3603603603603604</c:v>
                </c:pt>
                <c:pt idx="192">
                  <c:v>0.30630630630630634</c:v>
                </c:pt>
                <c:pt idx="193">
                  <c:v>0.10810810810810816</c:v>
                </c:pt>
                <c:pt idx="194">
                  <c:v>-9.00900900900901E-2</c:v>
                </c:pt>
                <c:pt idx="195">
                  <c:v>-9.9099099099099128E-2</c:v>
                </c:pt>
                <c:pt idx="196">
                  <c:v>-0.23423423423423428</c:v>
                </c:pt>
                <c:pt idx="197">
                  <c:v>-0.35135135135135137</c:v>
                </c:pt>
                <c:pt idx="198">
                  <c:v>-0.53153153153153154</c:v>
                </c:pt>
                <c:pt idx="199">
                  <c:v>-0.6216216216216216</c:v>
                </c:pt>
                <c:pt idx="200">
                  <c:v>-0.63063063063063063</c:v>
                </c:pt>
                <c:pt idx="201">
                  <c:v>-0.72972972972972983</c:v>
                </c:pt>
                <c:pt idx="202">
                  <c:v>-0.79279279279279291</c:v>
                </c:pt>
                <c:pt idx="203">
                  <c:v>-0.85585585585585577</c:v>
                </c:pt>
                <c:pt idx="204">
                  <c:v>-0.94594594594594594</c:v>
                </c:pt>
                <c:pt idx="205">
                  <c:v>-0.92792792792792811</c:v>
                </c:pt>
                <c:pt idx="206">
                  <c:v>-0.98198198198198217</c:v>
                </c:pt>
                <c:pt idx="207">
                  <c:v>-0.87387387387387383</c:v>
                </c:pt>
                <c:pt idx="208">
                  <c:v>-0.88288288288288297</c:v>
                </c:pt>
                <c:pt idx="209">
                  <c:v>-0.79279279279279291</c:v>
                </c:pt>
                <c:pt idx="210">
                  <c:v>-0.70270270270270285</c:v>
                </c:pt>
                <c:pt idx="211">
                  <c:v>-0.67567567567567566</c:v>
                </c:pt>
                <c:pt idx="212">
                  <c:v>-0.54054054054054046</c:v>
                </c:pt>
                <c:pt idx="213">
                  <c:v>-0.40540540540540532</c:v>
                </c:pt>
                <c:pt idx="214">
                  <c:v>-0.33333333333333331</c:v>
                </c:pt>
                <c:pt idx="215">
                  <c:v>-0.20720720720720717</c:v>
                </c:pt>
                <c:pt idx="216">
                  <c:v>-7.207207207207203E-2</c:v>
                </c:pt>
                <c:pt idx="217">
                  <c:v>1.8018018018018063E-2</c:v>
                </c:pt>
                <c:pt idx="218">
                  <c:v>0.19819819819819826</c:v>
                </c:pt>
                <c:pt idx="219">
                  <c:v>0.27027027027027029</c:v>
                </c:pt>
                <c:pt idx="220">
                  <c:v>0.46846846846846857</c:v>
                </c:pt>
                <c:pt idx="221">
                  <c:v>0.53153153153153165</c:v>
                </c:pt>
                <c:pt idx="222">
                  <c:v>0.71171171171171177</c:v>
                </c:pt>
                <c:pt idx="223">
                  <c:v>0.74774774774774788</c:v>
                </c:pt>
                <c:pt idx="224">
                  <c:v>0.86486486486486491</c:v>
                </c:pt>
                <c:pt idx="225">
                  <c:v>0.90990990990991005</c:v>
                </c:pt>
                <c:pt idx="226">
                  <c:v>0.89189189189189211</c:v>
                </c:pt>
                <c:pt idx="227">
                  <c:v>0.86486486486486491</c:v>
                </c:pt>
                <c:pt idx="228">
                  <c:v>0.80180180180180183</c:v>
                </c:pt>
                <c:pt idx="229">
                  <c:v>0.93693693693693714</c:v>
                </c:pt>
                <c:pt idx="230">
                  <c:v>0.89189189189189211</c:v>
                </c:pt>
                <c:pt idx="231">
                  <c:v>0.90090090090090102</c:v>
                </c:pt>
                <c:pt idx="232">
                  <c:v>0.77477477477477485</c:v>
                </c:pt>
                <c:pt idx="233">
                  <c:v>0.81981981981981988</c:v>
                </c:pt>
                <c:pt idx="234">
                  <c:v>0.91891891891891908</c:v>
                </c:pt>
                <c:pt idx="235">
                  <c:v>0.84684684684684697</c:v>
                </c:pt>
                <c:pt idx="236">
                  <c:v>0.90990990990991005</c:v>
                </c:pt>
                <c:pt idx="237">
                  <c:v>0.95495495495495508</c:v>
                </c:pt>
                <c:pt idx="238">
                  <c:v>0.83783783783783783</c:v>
                </c:pt>
                <c:pt idx="239">
                  <c:v>0.94594594594594605</c:v>
                </c:pt>
                <c:pt idx="240">
                  <c:v>0.90090090090090102</c:v>
                </c:pt>
                <c:pt idx="241">
                  <c:v>0.97297297297297303</c:v>
                </c:pt>
                <c:pt idx="242">
                  <c:v>0.93693693693693714</c:v>
                </c:pt>
                <c:pt idx="243">
                  <c:v>0.90090090090090102</c:v>
                </c:pt>
                <c:pt idx="244">
                  <c:v>0.93693693693693714</c:v>
                </c:pt>
                <c:pt idx="245">
                  <c:v>0.90990990990991005</c:v>
                </c:pt>
                <c:pt idx="246">
                  <c:v>0.81981981981981988</c:v>
                </c:pt>
                <c:pt idx="247">
                  <c:v>0.93693693693693714</c:v>
                </c:pt>
                <c:pt idx="248">
                  <c:v>0.89189189189189211</c:v>
                </c:pt>
                <c:pt idx="249">
                  <c:v>0.99099099099099108</c:v>
                </c:pt>
                <c:pt idx="250">
                  <c:v>0.90990990990991005</c:v>
                </c:pt>
                <c:pt idx="251">
                  <c:v>0.90090090090090102</c:v>
                </c:pt>
                <c:pt idx="252">
                  <c:v>0.83783783783783783</c:v>
                </c:pt>
                <c:pt idx="253">
                  <c:v>0.87387387387387394</c:v>
                </c:pt>
                <c:pt idx="254">
                  <c:v>0.90990990990991005</c:v>
                </c:pt>
                <c:pt idx="255">
                  <c:v>0.96396396396396411</c:v>
                </c:pt>
                <c:pt idx="256">
                  <c:v>0.87387387387387394</c:v>
                </c:pt>
                <c:pt idx="257">
                  <c:v>0.85585585585585588</c:v>
                </c:pt>
                <c:pt idx="258">
                  <c:v>0.90990990990991005</c:v>
                </c:pt>
                <c:pt idx="259">
                  <c:v>0.91891891891891908</c:v>
                </c:pt>
                <c:pt idx="260">
                  <c:v>0.87387387387387394</c:v>
                </c:pt>
                <c:pt idx="261">
                  <c:v>0.99099099099099108</c:v>
                </c:pt>
                <c:pt idx="262">
                  <c:v>0.93693693693693714</c:v>
                </c:pt>
                <c:pt idx="263">
                  <c:v>0.93693693693693714</c:v>
                </c:pt>
                <c:pt idx="264">
                  <c:v>0.93693693693693714</c:v>
                </c:pt>
                <c:pt idx="265">
                  <c:v>0.87387387387387394</c:v>
                </c:pt>
                <c:pt idx="266">
                  <c:v>0.94594594594594605</c:v>
                </c:pt>
                <c:pt idx="267">
                  <c:v>0.94594594594594605</c:v>
                </c:pt>
                <c:pt idx="268">
                  <c:v>0.87387387387387394</c:v>
                </c:pt>
                <c:pt idx="269">
                  <c:v>0.93693693693693714</c:v>
                </c:pt>
                <c:pt idx="270">
                  <c:v>0.85585585585585588</c:v>
                </c:pt>
                <c:pt idx="271">
                  <c:v>0.95495495495495508</c:v>
                </c:pt>
                <c:pt idx="272">
                  <c:v>1</c:v>
                </c:pt>
                <c:pt idx="273">
                  <c:v>0.93693693693693714</c:v>
                </c:pt>
                <c:pt idx="274">
                  <c:v>0.84684684684684697</c:v>
                </c:pt>
                <c:pt idx="275">
                  <c:v>0.95495495495495508</c:v>
                </c:pt>
                <c:pt idx="276">
                  <c:v>0.95495495495495508</c:v>
                </c:pt>
                <c:pt idx="277">
                  <c:v>0.93693693693693714</c:v>
                </c:pt>
                <c:pt idx="278">
                  <c:v>0.97297297297297303</c:v>
                </c:pt>
                <c:pt idx="279">
                  <c:v>0.91891891891891908</c:v>
                </c:pt>
                <c:pt idx="280">
                  <c:v>0.94594594594594605</c:v>
                </c:pt>
                <c:pt idx="281">
                  <c:v>0.90090090090090102</c:v>
                </c:pt>
                <c:pt idx="282">
                  <c:v>0.91891891891891908</c:v>
                </c:pt>
                <c:pt idx="283">
                  <c:v>0.91891891891891908</c:v>
                </c:pt>
                <c:pt idx="284">
                  <c:v>0.87387387387387394</c:v>
                </c:pt>
                <c:pt idx="285">
                  <c:v>0.95495495495495508</c:v>
                </c:pt>
                <c:pt idx="286">
                  <c:v>0.87387387387387394</c:v>
                </c:pt>
                <c:pt idx="287">
                  <c:v>0.90990990990991005</c:v>
                </c:pt>
                <c:pt idx="288">
                  <c:v>0.91891891891891908</c:v>
                </c:pt>
                <c:pt idx="289">
                  <c:v>0.94594594594594605</c:v>
                </c:pt>
                <c:pt idx="290">
                  <c:v>0.90090090090090102</c:v>
                </c:pt>
                <c:pt idx="291">
                  <c:v>0.90090090090090102</c:v>
                </c:pt>
                <c:pt idx="292">
                  <c:v>0.89189189189189211</c:v>
                </c:pt>
                <c:pt idx="293">
                  <c:v>0.90090090090090102</c:v>
                </c:pt>
                <c:pt idx="294">
                  <c:v>0.85585585585585588</c:v>
                </c:pt>
                <c:pt idx="295">
                  <c:v>0.97297297297297303</c:v>
                </c:pt>
                <c:pt idx="296">
                  <c:v>0.90990990990991005</c:v>
                </c:pt>
                <c:pt idx="297">
                  <c:v>1</c:v>
                </c:pt>
                <c:pt idx="298">
                  <c:v>0.84684684684684697</c:v>
                </c:pt>
                <c:pt idx="299">
                  <c:v>0.91891891891891908</c:v>
                </c:pt>
                <c:pt idx="300">
                  <c:v>0.87387387387387394</c:v>
                </c:pt>
                <c:pt idx="301">
                  <c:v>0.91891891891891908</c:v>
                </c:pt>
                <c:pt idx="302">
                  <c:v>0.87387387387387394</c:v>
                </c:pt>
                <c:pt idx="303">
                  <c:v>0.85585585585585588</c:v>
                </c:pt>
                <c:pt idx="304">
                  <c:v>0.84684684684684697</c:v>
                </c:pt>
                <c:pt idx="305">
                  <c:v>1</c:v>
                </c:pt>
                <c:pt idx="306">
                  <c:v>0.84684684684684697</c:v>
                </c:pt>
                <c:pt idx="307">
                  <c:v>0.81081081081081086</c:v>
                </c:pt>
                <c:pt idx="308">
                  <c:v>0.93693693693693714</c:v>
                </c:pt>
                <c:pt idx="309">
                  <c:v>0.97297297297297303</c:v>
                </c:pt>
                <c:pt idx="310">
                  <c:v>0.84684684684684697</c:v>
                </c:pt>
                <c:pt idx="311">
                  <c:v>0.90990990990991005</c:v>
                </c:pt>
                <c:pt idx="312">
                  <c:v>0.90090090090090102</c:v>
                </c:pt>
                <c:pt idx="313">
                  <c:v>0.93693693693693714</c:v>
                </c:pt>
                <c:pt idx="314">
                  <c:v>0.81081081081081086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7B-4625-BA41-91E76DBBB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5208"/>
        <c:axId val="14584848"/>
      </c:scatterChart>
      <c:valAx>
        <c:axId val="14585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848"/>
        <c:crosses val="autoZero"/>
        <c:crossBetween val="midCat"/>
      </c:valAx>
      <c:valAx>
        <c:axId val="1458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5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'data_Lab6_2025-09-29_132005'!$Y$1</c:f>
              <c:strCache>
                <c:ptCount val="1"/>
                <c:pt idx="0">
                  <c:v>0-360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'data_Lab6_2025-09-29_132005'!$Y$2:$Y$316</c:f>
              <c:numCache>
                <c:formatCode>General</c:formatCode>
                <c:ptCount val="315"/>
                <c:pt idx="0">
                  <c:v>185.97525541017922</c:v>
                </c:pt>
                <c:pt idx="1">
                  <c:v>185.96125541017932</c:v>
                </c:pt>
                <c:pt idx="2">
                  <c:v>186.08830541017926</c:v>
                </c:pt>
                <c:pt idx="3">
                  <c:v>186.1538454101792</c:v>
                </c:pt>
                <c:pt idx="4">
                  <c:v>186.14700541017919</c:v>
                </c:pt>
                <c:pt idx="5">
                  <c:v>186.11004541017928</c:v>
                </c:pt>
                <c:pt idx="6">
                  <c:v>186.09761541017929</c:v>
                </c:pt>
                <c:pt idx="7">
                  <c:v>186.36641541017923</c:v>
                </c:pt>
                <c:pt idx="8">
                  <c:v>186.1988354101793</c:v>
                </c:pt>
                <c:pt idx="9">
                  <c:v>185.95915541017928</c:v>
                </c:pt>
                <c:pt idx="10">
                  <c:v>186.03373541017925</c:v>
                </c:pt>
                <c:pt idx="11">
                  <c:v>186.02130541017925</c:v>
                </c:pt>
                <c:pt idx="12">
                  <c:v>185.91508541017924</c:v>
                </c:pt>
                <c:pt idx="13">
                  <c:v>186.1659654101793</c:v>
                </c:pt>
                <c:pt idx="14">
                  <c:v>186.25032541017924</c:v>
                </c:pt>
                <c:pt idx="15">
                  <c:v>186.15766541017933</c:v>
                </c:pt>
                <c:pt idx="16">
                  <c:v>186.21077541017928</c:v>
                </c:pt>
                <c:pt idx="17">
                  <c:v>186.30004541017934</c:v>
                </c:pt>
                <c:pt idx="18">
                  <c:v>186.2795254101793</c:v>
                </c:pt>
                <c:pt idx="19">
                  <c:v>186.15632541017931</c:v>
                </c:pt>
                <c:pt idx="20">
                  <c:v>186.1811854101793</c:v>
                </c:pt>
                <c:pt idx="21">
                  <c:v>186.34955541017928</c:v>
                </c:pt>
                <c:pt idx="22">
                  <c:v>186.59237541017933</c:v>
                </c:pt>
                <c:pt idx="23">
                  <c:v>186.82812541017927</c:v>
                </c:pt>
                <c:pt idx="24">
                  <c:v>186.7152654101792</c:v>
                </c:pt>
                <c:pt idx="25">
                  <c:v>186.50778541017928</c:v>
                </c:pt>
                <c:pt idx="26">
                  <c:v>186.6241754101793</c:v>
                </c:pt>
                <c:pt idx="27">
                  <c:v>186.57012541017923</c:v>
                </c:pt>
                <c:pt idx="28">
                  <c:v>186.85601541017923</c:v>
                </c:pt>
                <c:pt idx="29">
                  <c:v>186.93421541017926</c:v>
                </c:pt>
                <c:pt idx="30">
                  <c:v>186.91696541017927</c:v>
                </c:pt>
                <c:pt idx="31">
                  <c:v>187.03666541017924</c:v>
                </c:pt>
                <c:pt idx="32">
                  <c:v>187.3395054101793</c:v>
                </c:pt>
                <c:pt idx="33">
                  <c:v>187.45910541017929</c:v>
                </c:pt>
                <c:pt idx="34">
                  <c:v>187.42575541017925</c:v>
                </c:pt>
                <c:pt idx="35">
                  <c:v>187.44044541017922</c:v>
                </c:pt>
                <c:pt idx="36">
                  <c:v>187.45424541017928</c:v>
                </c:pt>
                <c:pt idx="37">
                  <c:v>187.31288541017921</c:v>
                </c:pt>
                <c:pt idx="38">
                  <c:v>187.31402541017928</c:v>
                </c:pt>
                <c:pt idx="39">
                  <c:v>187.29350541017925</c:v>
                </c:pt>
                <c:pt idx="40">
                  <c:v>187.22510541017925</c:v>
                </c:pt>
                <c:pt idx="41">
                  <c:v>187.35844541017923</c:v>
                </c:pt>
                <c:pt idx="42">
                  <c:v>188.04729541017923</c:v>
                </c:pt>
                <c:pt idx="43">
                  <c:v>188.65449541017927</c:v>
                </c:pt>
                <c:pt idx="44">
                  <c:v>188.9121354101793</c:v>
                </c:pt>
                <c:pt idx="45">
                  <c:v>189.08118541017927</c:v>
                </c:pt>
                <c:pt idx="46">
                  <c:v>189.16782541017926</c:v>
                </c:pt>
                <c:pt idx="47">
                  <c:v>189.69222541017928</c:v>
                </c:pt>
                <c:pt idx="48">
                  <c:v>190.51792541017926</c:v>
                </c:pt>
                <c:pt idx="49">
                  <c:v>191.36266541017926</c:v>
                </c:pt>
                <c:pt idx="50">
                  <c:v>192.08371541017925</c:v>
                </c:pt>
                <c:pt idx="51">
                  <c:v>191.99023541017925</c:v>
                </c:pt>
                <c:pt idx="52">
                  <c:v>190.79437541017933</c:v>
                </c:pt>
                <c:pt idx="53">
                  <c:v>188.96353541017925</c:v>
                </c:pt>
                <c:pt idx="54">
                  <c:v>184.79593541017925</c:v>
                </c:pt>
                <c:pt idx="55">
                  <c:v>178.92173541017928</c:v>
                </c:pt>
                <c:pt idx="56">
                  <c:v>170.57009541017931</c:v>
                </c:pt>
                <c:pt idx="57">
                  <c:v>161.93687541017925</c:v>
                </c:pt>
                <c:pt idx="58">
                  <c:v>153.52791541017928</c:v>
                </c:pt>
                <c:pt idx="59">
                  <c:v>144.83934541017925</c:v>
                </c:pt>
                <c:pt idx="60">
                  <c:v>136.36227541017928</c:v>
                </c:pt>
                <c:pt idx="61">
                  <c:v>127.6710754101793</c:v>
                </c:pt>
                <c:pt idx="62">
                  <c:v>118.88317541017932</c:v>
                </c:pt>
                <c:pt idx="63">
                  <c:v>110.17765541017928</c:v>
                </c:pt>
                <c:pt idx="64">
                  <c:v>101.44972541017927</c:v>
                </c:pt>
                <c:pt idx="65">
                  <c:v>93.033705410179266</c:v>
                </c:pt>
                <c:pt idx="66">
                  <c:v>84.372745410179277</c:v>
                </c:pt>
                <c:pt idx="67">
                  <c:v>75.655915410179261</c:v>
                </c:pt>
                <c:pt idx="68">
                  <c:v>67.168485410179301</c:v>
                </c:pt>
                <c:pt idx="69">
                  <c:v>58.111185410179246</c:v>
                </c:pt>
                <c:pt idx="70">
                  <c:v>49.371945410179251</c:v>
                </c:pt>
                <c:pt idx="71">
                  <c:v>40.677165410179271</c:v>
                </c:pt>
                <c:pt idx="72">
                  <c:v>31.865425410179284</c:v>
                </c:pt>
                <c:pt idx="73">
                  <c:v>22.951775410179266</c:v>
                </c:pt>
                <c:pt idx="74">
                  <c:v>14.014175410179291</c:v>
                </c:pt>
                <c:pt idx="75">
                  <c:v>5.2431254101792888</c:v>
                </c:pt>
                <c:pt idx="76">
                  <c:v>356.75800541017929</c:v>
                </c:pt>
                <c:pt idx="77">
                  <c:v>347.65575541017927</c:v>
                </c:pt>
                <c:pt idx="78">
                  <c:v>338.70300541017923</c:v>
                </c:pt>
                <c:pt idx="79">
                  <c:v>329.91930541017928</c:v>
                </c:pt>
                <c:pt idx="80">
                  <c:v>321.06357541017928</c:v>
                </c:pt>
                <c:pt idx="81">
                  <c:v>311.96132541017926</c:v>
                </c:pt>
                <c:pt idx="82">
                  <c:v>303.06064541017929</c:v>
                </c:pt>
                <c:pt idx="83">
                  <c:v>294.15996541017921</c:v>
                </c:pt>
                <c:pt idx="84">
                  <c:v>285.49931541017929</c:v>
                </c:pt>
                <c:pt idx="85">
                  <c:v>276.51511541017931</c:v>
                </c:pt>
                <c:pt idx="86">
                  <c:v>267.63995541017925</c:v>
                </c:pt>
                <c:pt idx="87">
                  <c:v>258.73550541017926</c:v>
                </c:pt>
                <c:pt idx="88">
                  <c:v>250.11206541017918</c:v>
                </c:pt>
                <c:pt idx="89">
                  <c:v>241.04661541017924</c:v>
                </c:pt>
                <c:pt idx="90">
                  <c:v>232.07201541017923</c:v>
                </c:pt>
                <c:pt idx="91">
                  <c:v>222.9834154101793</c:v>
                </c:pt>
                <c:pt idx="92">
                  <c:v>214.21453541017922</c:v>
                </c:pt>
                <c:pt idx="93">
                  <c:v>205.51363541017929</c:v>
                </c:pt>
                <c:pt idx="94">
                  <c:v>196.71853541017924</c:v>
                </c:pt>
                <c:pt idx="95">
                  <c:v>188.21543541017923</c:v>
                </c:pt>
                <c:pt idx="96">
                  <c:v>179.42368541017925</c:v>
                </c:pt>
                <c:pt idx="97">
                  <c:v>170.4564454101793</c:v>
                </c:pt>
                <c:pt idx="98">
                  <c:v>161.82339541017927</c:v>
                </c:pt>
                <c:pt idx="99">
                  <c:v>153.39539541017928</c:v>
                </c:pt>
                <c:pt idx="100">
                  <c:v>144.75089541017928</c:v>
                </c:pt>
                <c:pt idx="101">
                  <c:v>136.2632954101793</c:v>
                </c:pt>
                <c:pt idx="102">
                  <c:v>127.81849541017931</c:v>
                </c:pt>
                <c:pt idx="103">
                  <c:v>119.42689541017933</c:v>
                </c:pt>
                <c:pt idx="104">
                  <c:v>110.78917541017927</c:v>
                </c:pt>
                <c:pt idx="105">
                  <c:v>102.25477541017932</c:v>
                </c:pt>
                <c:pt idx="106">
                  <c:v>94.101825410179345</c:v>
                </c:pt>
                <c:pt idx="107">
                  <c:v>85.692465410179352</c:v>
                </c:pt>
                <c:pt idx="108">
                  <c:v>77.333055410179327</c:v>
                </c:pt>
                <c:pt idx="109">
                  <c:v>68.849015410179334</c:v>
                </c:pt>
                <c:pt idx="110">
                  <c:v>60.153335410179352</c:v>
                </c:pt>
                <c:pt idx="111">
                  <c:v>51.415635410179334</c:v>
                </c:pt>
                <c:pt idx="112">
                  <c:v>42.449535410179351</c:v>
                </c:pt>
                <c:pt idx="113">
                  <c:v>33.990355410179347</c:v>
                </c:pt>
                <c:pt idx="114">
                  <c:v>25.532695410179372</c:v>
                </c:pt>
                <c:pt idx="115">
                  <c:v>16.883545410179352</c:v>
                </c:pt>
                <c:pt idx="116">
                  <c:v>8.1893454101793282</c:v>
                </c:pt>
                <c:pt idx="117">
                  <c:v>359.77386541017927</c:v>
                </c:pt>
                <c:pt idx="118">
                  <c:v>351.41977541017934</c:v>
                </c:pt>
                <c:pt idx="119">
                  <c:v>342.83157541017931</c:v>
                </c:pt>
                <c:pt idx="120">
                  <c:v>334.70793541017929</c:v>
                </c:pt>
                <c:pt idx="121">
                  <c:v>326.10133541017922</c:v>
                </c:pt>
                <c:pt idx="122">
                  <c:v>317.35493541017922</c:v>
                </c:pt>
                <c:pt idx="123">
                  <c:v>308.96813541017923</c:v>
                </c:pt>
                <c:pt idx="124">
                  <c:v>300.42705541017926</c:v>
                </c:pt>
                <c:pt idx="125">
                  <c:v>291.93775541017931</c:v>
                </c:pt>
                <c:pt idx="126">
                  <c:v>283.29575541017925</c:v>
                </c:pt>
                <c:pt idx="127">
                  <c:v>274.47395541017931</c:v>
                </c:pt>
                <c:pt idx="128">
                  <c:v>265.83400541017932</c:v>
                </c:pt>
                <c:pt idx="129">
                  <c:v>257.28132541017931</c:v>
                </c:pt>
                <c:pt idx="130">
                  <c:v>248.84646541017923</c:v>
                </c:pt>
                <c:pt idx="131">
                  <c:v>240.23346541017918</c:v>
                </c:pt>
                <c:pt idx="132">
                  <c:v>231.37616541017928</c:v>
                </c:pt>
                <c:pt idx="133">
                  <c:v>222.83984541017924</c:v>
                </c:pt>
                <c:pt idx="134">
                  <c:v>214.23960541017925</c:v>
                </c:pt>
                <c:pt idx="135">
                  <c:v>205.53570541017928</c:v>
                </c:pt>
                <c:pt idx="136">
                  <c:v>197.00508541017928</c:v>
                </c:pt>
                <c:pt idx="137">
                  <c:v>188.6785254101793</c:v>
                </c:pt>
                <c:pt idx="138">
                  <c:v>180.10757541017927</c:v>
                </c:pt>
                <c:pt idx="139">
                  <c:v>171.55387541017922</c:v>
                </c:pt>
                <c:pt idx="140">
                  <c:v>163.24441541017927</c:v>
                </c:pt>
                <c:pt idx="141">
                  <c:v>154.64425541017931</c:v>
                </c:pt>
                <c:pt idx="142">
                  <c:v>146.26191541017931</c:v>
                </c:pt>
                <c:pt idx="143">
                  <c:v>138.04455541017933</c:v>
                </c:pt>
                <c:pt idx="144">
                  <c:v>129.60311541017927</c:v>
                </c:pt>
                <c:pt idx="145">
                  <c:v>121.42935541017926</c:v>
                </c:pt>
                <c:pt idx="146">
                  <c:v>113.1454254101792</c:v>
                </c:pt>
                <c:pt idx="147">
                  <c:v>104.82184541017921</c:v>
                </c:pt>
                <c:pt idx="148">
                  <c:v>96.411765410179214</c:v>
                </c:pt>
                <c:pt idx="149">
                  <c:v>87.770655410179188</c:v>
                </c:pt>
                <c:pt idx="150">
                  <c:v>79.639455410179153</c:v>
                </c:pt>
                <c:pt idx="151">
                  <c:v>71.424255410179171</c:v>
                </c:pt>
                <c:pt idx="152">
                  <c:v>63.070175410179218</c:v>
                </c:pt>
                <c:pt idx="153">
                  <c:v>54.429065410179192</c:v>
                </c:pt>
                <c:pt idx="154">
                  <c:v>45.938345410179181</c:v>
                </c:pt>
                <c:pt idx="155">
                  <c:v>37.715525410179225</c:v>
                </c:pt>
                <c:pt idx="156">
                  <c:v>29.287985410179203</c:v>
                </c:pt>
                <c:pt idx="157">
                  <c:v>20.832035410179174</c:v>
                </c:pt>
                <c:pt idx="158">
                  <c:v>12.287535410179203</c:v>
                </c:pt>
                <c:pt idx="159">
                  <c:v>3.6797854101791927</c:v>
                </c:pt>
                <c:pt idx="160">
                  <c:v>355.1421854101792</c:v>
                </c:pt>
                <c:pt idx="161">
                  <c:v>346.80938541017917</c:v>
                </c:pt>
                <c:pt idx="162">
                  <c:v>338.75133541017919</c:v>
                </c:pt>
                <c:pt idx="163">
                  <c:v>330.57069541017916</c:v>
                </c:pt>
                <c:pt idx="164">
                  <c:v>321.89273541017917</c:v>
                </c:pt>
                <c:pt idx="165">
                  <c:v>313.13645541017922</c:v>
                </c:pt>
                <c:pt idx="166">
                  <c:v>304.67130541017923</c:v>
                </c:pt>
                <c:pt idx="167">
                  <c:v>295.8796654101792</c:v>
                </c:pt>
                <c:pt idx="168">
                  <c:v>287.4731454101792</c:v>
                </c:pt>
                <c:pt idx="169">
                  <c:v>279.27364541017914</c:v>
                </c:pt>
                <c:pt idx="170">
                  <c:v>270.71052541017912</c:v>
                </c:pt>
                <c:pt idx="171">
                  <c:v>262.30517541017912</c:v>
                </c:pt>
                <c:pt idx="172">
                  <c:v>253.53673541017906</c:v>
                </c:pt>
                <c:pt idx="173">
                  <c:v>244.83583541017902</c:v>
                </c:pt>
                <c:pt idx="174">
                  <c:v>236.51558541017903</c:v>
                </c:pt>
                <c:pt idx="175">
                  <c:v>228.51158541017901</c:v>
                </c:pt>
                <c:pt idx="176">
                  <c:v>220.34462541017899</c:v>
                </c:pt>
                <c:pt idx="177">
                  <c:v>211.80354541017903</c:v>
                </c:pt>
                <c:pt idx="178">
                  <c:v>203.44226541017906</c:v>
                </c:pt>
                <c:pt idx="179">
                  <c:v>195.02602541017905</c:v>
                </c:pt>
                <c:pt idx="180">
                  <c:v>186.5344254101791</c:v>
                </c:pt>
                <c:pt idx="181">
                  <c:v>178.12578541017911</c:v>
                </c:pt>
                <c:pt idx="182">
                  <c:v>169.46973541017906</c:v>
                </c:pt>
                <c:pt idx="183">
                  <c:v>161.04713541017907</c:v>
                </c:pt>
                <c:pt idx="184">
                  <c:v>153.06933541017906</c:v>
                </c:pt>
                <c:pt idx="185">
                  <c:v>144.82257541017907</c:v>
                </c:pt>
                <c:pt idx="186">
                  <c:v>136.63425541017909</c:v>
                </c:pt>
                <c:pt idx="187">
                  <c:v>128.14004541017914</c:v>
                </c:pt>
                <c:pt idx="188">
                  <c:v>119.9582354101791</c:v>
                </c:pt>
                <c:pt idx="189">
                  <c:v>111.7182754101791</c:v>
                </c:pt>
                <c:pt idx="190">
                  <c:v>103.82563541017907</c:v>
                </c:pt>
                <c:pt idx="191">
                  <c:v>95.796985410179104</c:v>
                </c:pt>
                <c:pt idx="192">
                  <c:v>87.480985410179073</c:v>
                </c:pt>
                <c:pt idx="193">
                  <c:v>79.195825410179054</c:v>
                </c:pt>
                <c:pt idx="194">
                  <c:v>70.839505410179072</c:v>
                </c:pt>
                <c:pt idx="195">
                  <c:v>62.634925410179108</c:v>
                </c:pt>
                <c:pt idx="196">
                  <c:v>54.532845410179107</c:v>
                </c:pt>
                <c:pt idx="197">
                  <c:v>46.149285410179118</c:v>
                </c:pt>
                <c:pt idx="198">
                  <c:v>37.889985410179179</c:v>
                </c:pt>
                <c:pt idx="199">
                  <c:v>29.841585410179277</c:v>
                </c:pt>
                <c:pt idx="200">
                  <c:v>21.745585410179274</c:v>
                </c:pt>
                <c:pt idx="201">
                  <c:v>13.444105410179191</c:v>
                </c:pt>
                <c:pt idx="202">
                  <c:v>5.0677454101792136</c:v>
                </c:pt>
                <c:pt idx="203">
                  <c:v>356.55199541017919</c:v>
                </c:pt>
                <c:pt idx="204">
                  <c:v>348.30439541017927</c:v>
                </c:pt>
                <c:pt idx="205">
                  <c:v>340.15144541017935</c:v>
                </c:pt>
                <c:pt idx="206">
                  <c:v>331.88758541017933</c:v>
                </c:pt>
                <c:pt idx="207">
                  <c:v>323.81688541017934</c:v>
                </c:pt>
                <c:pt idx="208">
                  <c:v>315.63463541017927</c:v>
                </c:pt>
                <c:pt idx="209">
                  <c:v>307.24339541017935</c:v>
                </c:pt>
                <c:pt idx="210">
                  <c:v>299.18304541017937</c:v>
                </c:pt>
                <c:pt idx="211">
                  <c:v>291.01574541017931</c:v>
                </c:pt>
                <c:pt idx="212">
                  <c:v>282.72638541017932</c:v>
                </c:pt>
                <c:pt idx="213">
                  <c:v>274.57173541017937</c:v>
                </c:pt>
                <c:pt idx="214">
                  <c:v>266.29049541017935</c:v>
                </c:pt>
                <c:pt idx="215">
                  <c:v>258.14381541017929</c:v>
                </c:pt>
                <c:pt idx="216">
                  <c:v>249.50271541017923</c:v>
                </c:pt>
                <c:pt idx="217">
                  <c:v>241.44651541017925</c:v>
                </c:pt>
                <c:pt idx="218">
                  <c:v>233.14555541017921</c:v>
                </c:pt>
                <c:pt idx="219">
                  <c:v>225.14275541017923</c:v>
                </c:pt>
                <c:pt idx="220">
                  <c:v>216.96050541017917</c:v>
                </c:pt>
                <c:pt idx="221">
                  <c:v>208.88930541017908</c:v>
                </c:pt>
                <c:pt idx="222">
                  <c:v>200.75538541017909</c:v>
                </c:pt>
                <c:pt idx="223">
                  <c:v>192.90420541017897</c:v>
                </c:pt>
                <c:pt idx="224">
                  <c:v>184.64503541017893</c:v>
                </c:pt>
                <c:pt idx="225">
                  <c:v>176.49728541017885</c:v>
                </c:pt>
                <c:pt idx="226">
                  <c:v>168.51956541017876</c:v>
                </c:pt>
                <c:pt idx="227">
                  <c:v>160.55466541017881</c:v>
                </c:pt>
                <c:pt idx="228">
                  <c:v>157.92967541017879</c:v>
                </c:pt>
                <c:pt idx="229">
                  <c:v>157.0302154101787</c:v>
                </c:pt>
                <c:pt idx="230">
                  <c:v>156.0591754101788</c:v>
                </c:pt>
                <c:pt idx="231">
                  <c:v>155.1866954101788</c:v>
                </c:pt>
                <c:pt idx="232">
                  <c:v>156.54533541017872</c:v>
                </c:pt>
                <c:pt idx="233">
                  <c:v>157.98971541017863</c:v>
                </c:pt>
                <c:pt idx="234">
                  <c:v>160.48814541017873</c:v>
                </c:pt>
                <c:pt idx="235">
                  <c:v>164.33489541017866</c:v>
                </c:pt>
                <c:pt idx="236">
                  <c:v>168.14024541017875</c:v>
                </c:pt>
                <c:pt idx="237">
                  <c:v>172.72759541017876</c:v>
                </c:pt>
                <c:pt idx="238">
                  <c:v>176.76323541017882</c:v>
                </c:pt>
                <c:pt idx="239">
                  <c:v>178.66763541017872</c:v>
                </c:pt>
                <c:pt idx="240">
                  <c:v>179.41003541017881</c:v>
                </c:pt>
                <c:pt idx="241">
                  <c:v>179.16393541017874</c:v>
                </c:pt>
                <c:pt idx="242">
                  <c:v>177.89042541017875</c:v>
                </c:pt>
                <c:pt idx="243">
                  <c:v>176.55297541017876</c:v>
                </c:pt>
                <c:pt idx="244">
                  <c:v>175.00599541017868</c:v>
                </c:pt>
                <c:pt idx="245">
                  <c:v>173.32354541017867</c:v>
                </c:pt>
                <c:pt idx="246">
                  <c:v>172.32074541017869</c:v>
                </c:pt>
                <c:pt idx="247">
                  <c:v>171.67777541017858</c:v>
                </c:pt>
                <c:pt idx="248">
                  <c:v>171.32323541017854</c:v>
                </c:pt>
                <c:pt idx="249">
                  <c:v>171.46335541017856</c:v>
                </c:pt>
                <c:pt idx="250">
                  <c:v>171.56110541017847</c:v>
                </c:pt>
                <c:pt idx="251">
                  <c:v>171.4847254101785</c:v>
                </c:pt>
                <c:pt idx="252">
                  <c:v>171.35590541017859</c:v>
                </c:pt>
                <c:pt idx="253">
                  <c:v>170.91407541017861</c:v>
                </c:pt>
                <c:pt idx="254">
                  <c:v>170.98361541017857</c:v>
                </c:pt>
                <c:pt idx="255">
                  <c:v>170.79616541017867</c:v>
                </c:pt>
                <c:pt idx="256">
                  <c:v>170.74192541017874</c:v>
                </c:pt>
                <c:pt idx="257">
                  <c:v>170.71000541017884</c:v>
                </c:pt>
                <c:pt idx="258">
                  <c:v>170.64898541017874</c:v>
                </c:pt>
                <c:pt idx="259">
                  <c:v>170.75386541017883</c:v>
                </c:pt>
                <c:pt idx="260">
                  <c:v>170.53954541017879</c:v>
                </c:pt>
                <c:pt idx="261">
                  <c:v>170.33890541017877</c:v>
                </c:pt>
                <c:pt idx="262">
                  <c:v>170.23494541017885</c:v>
                </c:pt>
                <c:pt idx="263">
                  <c:v>170.32728541017877</c:v>
                </c:pt>
                <c:pt idx="264">
                  <c:v>170.11980541017874</c:v>
                </c:pt>
                <c:pt idx="265">
                  <c:v>170.06964541017874</c:v>
                </c:pt>
                <c:pt idx="266">
                  <c:v>169.80288541017876</c:v>
                </c:pt>
                <c:pt idx="267">
                  <c:v>169.49665541017885</c:v>
                </c:pt>
                <c:pt idx="268">
                  <c:v>169.47613541017881</c:v>
                </c:pt>
                <c:pt idx="269">
                  <c:v>169.72134541017886</c:v>
                </c:pt>
                <c:pt idx="270">
                  <c:v>169.62359541017895</c:v>
                </c:pt>
                <c:pt idx="271">
                  <c:v>169.761455410179</c:v>
                </c:pt>
                <c:pt idx="272">
                  <c:v>169.98945541017906</c:v>
                </c:pt>
                <c:pt idx="273">
                  <c:v>169.76373541017915</c:v>
                </c:pt>
                <c:pt idx="274">
                  <c:v>169.77285541017909</c:v>
                </c:pt>
                <c:pt idx="275">
                  <c:v>170.07185541017907</c:v>
                </c:pt>
                <c:pt idx="276">
                  <c:v>170.09579541017911</c:v>
                </c:pt>
                <c:pt idx="277">
                  <c:v>169.66684541017912</c:v>
                </c:pt>
                <c:pt idx="278">
                  <c:v>169.58887541017907</c:v>
                </c:pt>
                <c:pt idx="279">
                  <c:v>169.48378541017905</c:v>
                </c:pt>
                <c:pt idx="280">
                  <c:v>169.29959541017911</c:v>
                </c:pt>
                <c:pt idx="281">
                  <c:v>169.29731541017918</c:v>
                </c:pt>
                <c:pt idx="282">
                  <c:v>168.86339541017924</c:v>
                </c:pt>
                <c:pt idx="283">
                  <c:v>168.90859541017926</c:v>
                </c:pt>
                <c:pt idx="284">
                  <c:v>168.47881541017932</c:v>
                </c:pt>
                <c:pt idx="285">
                  <c:v>168.08323541017921</c:v>
                </c:pt>
                <c:pt idx="286">
                  <c:v>167.94871541017915</c:v>
                </c:pt>
                <c:pt idx="287">
                  <c:v>167.99956541017923</c:v>
                </c:pt>
                <c:pt idx="288">
                  <c:v>167.55610541017927</c:v>
                </c:pt>
                <c:pt idx="289">
                  <c:v>167.49562541017917</c:v>
                </c:pt>
                <c:pt idx="290">
                  <c:v>167.88886541017928</c:v>
                </c:pt>
                <c:pt idx="291">
                  <c:v>168.15220541017925</c:v>
                </c:pt>
                <c:pt idx="292">
                  <c:v>168.81115541017925</c:v>
                </c:pt>
                <c:pt idx="293">
                  <c:v>169.66729541017935</c:v>
                </c:pt>
                <c:pt idx="294">
                  <c:v>170.21905541017941</c:v>
                </c:pt>
                <c:pt idx="295">
                  <c:v>171.10271541017937</c:v>
                </c:pt>
                <c:pt idx="296">
                  <c:v>172.16301541017947</c:v>
                </c:pt>
                <c:pt idx="297">
                  <c:v>172.76493541017953</c:v>
                </c:pt>
                <c:pt idx="298">
                  <c:v>173.41929541017953</c:v>
                </c:pt>
                <c:pt idx="299">
                  <c:v>173.92184541017946</c:v>
                </c:pt>
                <c:pt idx="300">
                  <c:v>174.61724541017952</c:v>
                </c:pt>
                <c:pt idx="301">
                  <c:v>174.94499541017944</c:v>
                </c:pt>
                <c:pt idx="302">
                  <c:v>175.67179541017936</c:v>
                </c:pt>
                <c:pt idx="303">
                  <c:v>175.98415541017926</c:v>
                </c:pt>
                <c:pt idx="304">
                  <c:v>176.44645541017917</c:v>
                </c:pt>
                <c:pt idx="305">
                  <c:v>176.95834541017916</c:v>
                </c:pt>
                <c:pt idx="306">
                  <c:v>177.42346541017923</c:v>
                </c:pt>
                <c:pt idx="307">
                  <c:v>178.05738541017922</c:v>
                </c:pt>
                <c:pt idx="308">
                  <c:v>178.71165541017922</c:v>
                </c:pt>
                <c:pt idx="309">
                  <c:v>179.34557541017921</c:v>
                </c:pt>
                <c:pt idx="310">
                  <c:v>179.84063541017917</c:v>
                </c:pt>
                <c:pt idx="311">
                  <c:v>180.67279541017911</c:v>
                </c:pt>
                <c:pt idx="312">
                  <c:v>181.45814541017921</c:v>
                </c:pt>
                <c:pt idx="313">
                  <c:v>181.8725454101791</c:v>
                </c:pt>
                <c:pt idx="314">
                  <c:v>182.55852541017907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F8-4765-9F5E-B9D51739C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829736"/>
        <c:axId val="848832976"/>
      </c:scatterChart>
      <c:valAx>
        <c:axId val="84882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32976"/>
        <c:crosses val="autoZero"/>
        <c:crossBetween val="midCat"/>
      </c:valAx>
      <c:valAx>
        <c:axId val="84883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29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'data_Lab6_2025-09-29_132005'!$L$2:$L$316</c:f>
              <c:numCache>
                <c:formatCode>General</c:formatCode>
                <c:ptCount val="315"/>
                <c:pt idx="0">
                  <c:v>0</c:v>
                </c:pt>
                <c:pt idx="1">
                  <c:v>0.1</c:v>
                </c:pt>
                <c:pt idx="2">
                  <c:v>0.20499999999999999</c:v>
                </c:pt>
                <c:pt idx="3">
                  <c:v>0.318</c:v>
                </c:pt>
                <c:pt idx="4">
                  <c:v>0.432</c:v>
                </c:pt>
                <c:pt idx="5">
                  <c:v>0.54400000000000004</c:v>
                </c:pt>
                <c:pt idx="6">
                  <c:v>0.65700000000000003</c:v>
                </c:pt>
                <c:pt idx="7">
                  <c:v>0.76900000000000002</c:v>
                </c:pt>
                <c:pt idx="8">
                  <c:v>0.88300000000000001</c:v>
                </c:pt>
                <c:pt idx="9">
                  <c:v>0.995</c:v>
                </c:pt>
                <c:pt idx="10">
                  <c:v>1.1080000000000001</c:v>
                </c:pt>
                <c:pt idx="11">
                  <c:v>1.2210000000000001</c:v>
                </c:pt>
                <c:pt idx="12">
                  <c:v>1.3340000000000001</c:v>
                </c:pt>
                <c:pt idx="13">
                  <c:v>1.446</c:v>
                </c:pt>
                <c:pt idx="14">
                  <c:v>1.56</c:v>
                </c:pt>
                <c:pt idx="15">
                  <c:v>1.673</c:v>
                </c:pt>
                <c:pt idx="16">
                  <c:v>1.786</c:v>
                </c:pt>
                <c:pt idx="17">
                  <c:v>1.899</c:v>
                </c:pt>
                <c:pt idx="18">
                  <c:v>2.0129999999999999</c:v>
                </c:pt>
                <c:pt idx="19">
                  <c:v>2.125</c:v>
                </c:pt>
                <c:pt idx="20">
                  <c:v>2.238</c:v>
                </c:pt>
                <c:pt idx="21">
                  <c:v>2.351</c:v>
                </c:pt>
                <c:pt idx="22">
                  <c:v>2.4649999999999999</c:v>
                </c:pt>
                <c:pt idx="23">
                  <c:v>2.58</c:v>
                </c:pt>
                <c:pt idx="24">
                  <c:v>2.694</c:v>
                </c:pt>
                <c:pt idx="25">
                  <c:v>2.8079999999999998</c:v>
                </c:pt>
                <c:pt idx="26">
                  <c:v>2.9209999999999998</c:v>
                </c:pt>
                <c:pt idx="27">
                  <c:v>3.036</c:v>
                </c:pt>
                <c:pt idx="28">
                  <c:v>3.149</c:v>
                </c:pt>
                <c:pt idx="29">
                  <c:v>3.2639999999999998</c:v>
                </c:pt>
                <c:pt idx="30">
                  <c:v>3.379</c:v>
                </c:pt>
                <c:pt idx="31">
                  <c:v>3.4929999999999999</c:v>
                </c:pt>
                <c:pt idx="32">
                  <c:v>3.6059999999999999</c:v>
                </c:pt>
                <c:pt idx="33">
                  <c:v>3.7210000000000001</c:v>
                </c:pt>
                <c:pt idx="34">
                  <c:v>3.8359999999999999</c:v>
                </c:pt>
                <c:pt idx="35">
                  <c:v>3.9489999999999998</c:v>
                </c:pt>
                <c:pt idx="36">
                  <c:v>4.0640000000000001</c:v>
                </c:pt>
                <c:pt idx="37">
                  <c:v>4.1779999999999999</c:v>
                </c:pt>
                <c:pt idx="38">
                  <c:v>4.2919999999999998</c:v>
                </c:pt>
                <c:pt idx="39">
                  <c:v>4.4059999999999997</c:v>
                </c:pt>
                <c:pt idx="40">
                  <c:v>4.5199999999999996</c:v>
                </c:pt>
                <c:pt idx="41">
                  <c:v>4.633</c:v>
                </c:pt>
                <c:pt idx="42">
                  <c:v>4.7480000000000002</c:v>
                </c:pt>
                <c:pt idx="43">
                  <c:v>4.8630000000000004</c:v>
                </c:pt>
                <c:pt idx="44">
                  <c:v>4.9770000000000003</c:v>
                </c:pt>
                <c:pt idx="45">
                  <c:v>5.0919999999999996</c:v>
                </c:pt>
                <c:pt idx="46">
                  <c:v>5.2060000000000004</c:v>
                </c:pt>
                <c:pt idx="47">
                  <c:v>5.3209999999999997</c:v>
                </c:pt>
                <c:pt idx="48">
                  <c:v>5.4359999999999999</c:v>
                </c:pt>
                <c:pt idx="49">
                  <c:v>5.55</c:v>
                </c:pt>
                <c:pt idx="50">
                  <c:v>5.665</c:v>
                </c:pt>
                <c:pt idx="51">
                  <c:v>5.7789999999999999</c:v>
                </c:pt>
                <c:pt idx="52">
                  <c:v>5.8929999999999998</c:v>
                </c:pt>
                <c:pt idx="53">
                  <c:v>6.0069999999999997</c:v>
                </c:pt>
                <c:pt idx="54">
                  <c:v>6.1219999999999999</c:v>
                </c:pt>
                <c:pt idx="55">
                  <c:v>6.2370000000000001</c:v>
                </c:pt>
                <c:pt idx="56">
                  <c:v>6.351</c:v>
                </c:pt>
                <c:pt idx="57">
                  <c:v>6.4649999999999999</c:v>
                </c:pt>
                <c:pt idx="58">
                  <c:v>6.577</c:v>
                </c:pt>
                <c:pt idx="59">
                  <c:v>6.69</c:v>
                </c:pt>
                <c:pt idx="60">
                  <c:v>6.8010000000000002</c:v>
                </c:pt>
                <c:pt idx="61">
                  <c:v>6.9130000000000003</c:v>
                </c:pt>
                <c:pt idx="62">
                  <c:v>7.0229999999999997</c:v>
                </c:pt>
                <c:pt idx="63">
                  <c:v>7.1360000000000001</c:v>
                </c:pt>
                <c:pt idx="64">
                  <c:v>7.2469999999999999</c:v>
                </c:pt>
                <c:pt idx="65">
                  <c:v>7.3579999999999997</c:v>
                </c:pt>
                <c:pt idx="66">
                  <c:v>7.47</c:v>
                </c:pt>
                <c:pt idx="67">
                  <c:v>7.5810000000000004</c:v>
                </c:pt>
                <c:pt idx="68">
                  <c:v>7.694</c:v>
                </c:pt>
                <c:pt idx="69">
                  <c:v>7.8079999999999998</c:v>
                </c:pt>
                <c:pt idx="70">
                  <c:v>7.9219999999999997</c:v>
                </c:pt>
                <c:pt idx="71">
                  <c:v>8.0359999999999996</c:v>
                </c:pt>
                <c:pt idx="72">
                  <c:v>8.1489999999999991</c:v>
                </c:pt>
                <c:pt idx="73">
                  <c:v>8.2639999999999993</c:v>
                </c:pt>
                <c:pt idx="74">
                  <c:v>8.3780000000000001</c:v>
                </c:pt>
                <c:pt idx="75">
                  <c:v>8.4930000000000003</c:v>
                </c:pt>
                <c:pt idx="76">
                  <c:v>8.6050000000000004</c:v>
                </c:pt>
                <c:pt idx="77">
                  <c:v>8.7200000000000006</c:v>
                </c:pt>
                <c:pt idx="78">
                  <c:v>8.8350000000000009</c:v>
                </c:pt>
                <c:pt idx="79">
                  <c:v>8.9489999999999998</c:v>
                </c:pt>
                <c:pt idx="80">
                  <c:v>9.0660000000000007</c:v>
                </c:pt>
                <c:pt idx="81">
                  <c:v>9.1809999999999992</c:v>
                </c:pt>
                <c:pt idx="82">
                  <c:v>9.2970000000000006</c:v>
                </c:pt>
                <c:pt idx="83">
                  <c:v>9.4130000000000003</c:v>
                </c:pt>
                <c:pt idx="84">
                  <c:v>9.5280000000000005</c:v>
                </c:pt>
                <c:pt idx="85">
                  <c:v>9.6440000000000001</c:v>
                </c:pt>
                <c:pt idx="86">
                  <c:v>9.76</c:v>
                </c:pt>
                <c:pt idx="87">
                  <c:v>9.875</c:v>
                </c:pt>
                <c:pt idx="88">
                  <c:v>9.9909999999999997</c:v>
                </c:pt>
                <c:pt idx="89">
                  <c:v>10.106</c:v>
                </c:pt>
                <c:pt idx="90">
                  <c:v>10.221</c:v>
                </c:pt>
                <c:pt idx="91">
                  <c:v>10.337</c:v>
                </c:pt>
                <c:pt idx="92">
                  <c:v>10.451000000000001</c:v>
                </c:pt>
                <c:pt idx="93">
                  <c:v>10.566000000000001</c:v>
                </c:pt>
                <c:pt idx="94">
                  <c:v>10.68</c:v>
                </c:pt>
                <c:pt idx="95">
                  <c:v>10.795</c:v>
                </c:pt>
                <c:pt idx="96">
                  <c:v>10.91</c:v>
                </c:pt>
                <c:pt idx="97">
                  <c:v>11.023999999999999</c:v>
                </c:pt>
                <c:pt idx="98">
                  <c:v>11.138999999999999</c:v>
                </c:pt>
                <c:pt idx="99">
                  <c:v>11.250999999999999</c:v>
                </c:pt>
                <c:pt idx="100">
                  <c:v>11.364000000000001</c:v>
                </c:pt>
                <c:pt idx="101">
                  <c:v>11.474</c:v>
                </c:pt>
                <c:pt idx="102">
                  <c:v>11.586</c:v>
                </c:pt>
                <c:pt idx="103">
                  <c:v>11.696999999999999</c:v>
                </c:pt>
                <c:pt idx="104">
                  <c:v>11.81</c:v>
                </c:pt>
                <c:pt idx="105">
                  <c:v>11.922000000000001</c:v>
                </c:pt>
                <c:pt idx="106">
                  <c:v>12.035</c:v>
                </c:pt>
                <c:pt idx="107">
                  <c:v>12.146000000000001</c:v>
                </c:pt>
                <c:pt idx="108">
                  <c:v>12.257</c:v>
                </c:pt>
                <c:pt idx="109">
                  <c:v>12.37</c:v>
                </c:pt>
                <c:pt idx="110">
                  <c:v>12.481999999999999</c:v>
                </c:pt>
                <c:pt idx="111">
                  <c:v>12.597</c:v>
                </c:pt>
                <c:pt idx="112">
                  <c:v>12.711</c:v>
                </c:pt>
                <c:pt idx="113">
                  <c:v>12.824</c:v>
                </c:pt>
                <c:pt idx="114">
                  <c:v>12.938000000000001</c:v>
                </c:pt>
                <c:pt idx="115">
                  <c:v>13.053000000000001</c:v>
                </c:pt>
                <c:pt idx="116">
                  <c:v>13.169</c:v>
                </c:pt>
                <c:pt idx="117">
                  <c:v>13.282999999999999</c:v>
                </c:pt>
                <c:pt idx="118">
                  <c:v>13.396000000000001</c:v>
                </c:pt>
                <c:pt idx="119">
                  <c:v>13.510999999999999</c:v>
                </c:pt>
                <c:pt idx="120">
                  <c:v>13.625</c:v>
                </c:pt>
                <c:pt idx="121">
                  <c:v>13.74</c:v>
                </c:pt>
                <c:pt idx="122">
                  <c:v>13.856</c:v>
                </c:pt>
                <c:pt idx="123">
                  <c:v>13.972</c:v>
                </c:pt>
                <c:pt idx="124">
                  <c:v>14.087999999999999</c:v>
                </c:pt>
                <c:pt idx="125">
                  <c:v>14.202999999999999</c:v>
                </c:pt>
                <c:pt idx="126">
                  <c:v>14.319000000000001</c:v>
                </c:pt>
                <c:pt idx="127">
                  <c:v>14.435</c:v>
                </c:pt>
                <c:pt idx="128">
                  <c:v>14.55</c:v>
                </c:pt>
                <c:pt idx="129">
                  <c:v>14.666</c:v>
                </c:pt>
                <c:pt idx="130">
                  <c:v>14.78</c:v>
                </c:pt>
                <c:pt idx="131">
                  <c:v>14.896000000000001</c:v>
                </c:pt>
                <c:pt idx="132">
                  <c:v>15.010999999999999</c:v>
                </c:pt>
                <c:pt idx="133">
                  <c:v>15.125</c:v>
                </c:pt>
                <c:pt idx="134">
                  <c:v>15.241</c:v>
                </c:pt>
                <c:pt idx="135">
                  <c:v>15.355</c:v>
                </c:pt>
                <c:pt idx="136">
                  <c:v>15.468999999999999</c:v>
                </c:pt>
                <c:pt idx="137">
                  <c:v>15.583</c:v>
                </c:pt>
                <c:pt idx="138">
                  <c:v>15.698</c:v>
                </c:pt>
                <c:pt idx="139">
                  <c:v>15.813000000000001</c:v>
                </c:pt>
                <c:pt idx="140">
                  <c:v>15.927</c:v>
                </c:pt>
                <c:pt idx="141">
                  <c:v>16.041</c:v>
                </c:pt>
                <c:pt idx="142">
                  <c:v>16.154</c:v>
                </c:pt>
                <c:pt idx="143">
                  <c:v>16.266999999999999</c:v>
                </c:pt>
                <c:pt idx="144">
                  <c:v>16.379000000000001</c:v>
                </c:pt>
                <c:pt idx="145">
                  <c:v>16.491</c:v>
                </c:pt>
                <c:pt idx="146">
                  <c:v>16.602</c:v>
                </c:pt>
                <c:pt idx="147">
                  <c:v>16.715</c:v>
                </c:pt>
                <c:pt idx="148">
                  <c:v>16.827000000000002</c:v>
                </c:pt>
                <c:pt idx="149">
                  <c:v>16.940000000000001</c:v>
                </c:pt>
                <c:pt idx="150">
                  <c:v>17.052</c:v>
                </c:pt>
                <c:pt idx="151">
                  <c:v>17.164000000000001</c:v>
                </c:pt>
                <c:pt idx="152">
                  <c:v>17.276</c:v>
                </c:pt>
                <c:pt idx="153">
                  <c:v>17.388999999999999</c:v>
                </c:pt>
                <c:pt idx="154">
                  <c:v>17.503</c:v>
                </c:pt>
                <c:pt idx="155">
                  <c:v>17.617000000000001</c:v>
                </c:pt>
                <c:pt idx="156">
                  <c:v>17.73</c:v>
                </c:pt>
                <c:pt idx="157">
                  <c:v>17.844999999999999</c:v>
                </c:pt>
                <c:pt idx="158">
                  <c:v>17.96</c:v>
                </c:pt>
                <c:pt idx="159">
                  <c:v>18.074999999999999</c:v>
                </c:pt>
                <c:pt idx="160">
                  <c:v>18.190999999999999</c:v>
                </c:pt>
                <c:pt idx="161">
                  <c:v>18.303000000000001</c:v>
                </c:pt>
                <c:pt idx="162">
                  <c:v>18.417999999999999</c:v>
                </c:pt>
                <c:pt idx="163">
                  <c:v>18.532</c:v>
                </c:pt>
                <c:pt idx="164">
                  <c:v>18.648</c:v>
                </c:pt>
                <c:pt idx="165">
                  <c:v>18.765000000000001</c:v>
                </c:pt>
                <c:pt idx="166">
                  <c:v>18.88</c:v>
                </c:pt>
                <c:pt idx="167">
                  <c:v>18.995999999999999</c:v>
                </c:pt>
                <c:pt idx="168">
                  <c:v>19.111999999999998</c:v>
                </c:pt>
                <c:pt idx="169">
                  <c:v>19.227</c:v>
                </c:pt>
                <c:pt idx="170">
                  <c:v>19.343</c:v>
                </c:pt>
                <c:pt idx="171">
                  <c:v>19.457999999999998</c:v>
                </c:pt>
                <c:pt idx="172">
                  <c:v>19.574000000000002</c:v>
                </c:pt>
                <c:pt idx="173">
                  <c:v>19.689</c:v>
                </c:pt>
                <c:pt idx="174">
                  <c:v>19.803999999999998</c:v>
                </c:pt>
                <c:pt idx="175">
                  <c:v>19.919</c:v>
                </c:pt>
                <c:pt idx="176">
                  <c:v>20.033000000000001</c:v>
                </c:pt>
                <c:pt idx="177">
                  <c:v>20.149000000000001</c:v>
                </c:pt>
                <c:pt idx="178">
                  <c:v>20.265000000000001</c:v>
                </c:pt>
                <c:pt idx="179">
                  <c:v>20.378</c:v>
                </c:pt>
                <c:pt idx="180">
                  <c:v>20.492999999999999</c:v>
                </c:pt>
                <c:pt idx="181">
                  <c:v>20.606999999999999</c:v>
                </c:pt>
                <c:pt idx="182">
                  <c:v>20.722000000000001</c:v>
                </c:pt>
                <c:pt idx="183">
                  <c:v>20.837</c:v>
                </c:pt>
                <c:pt idx="184">
                  <c:v>20.95</c:v>
                </c:pt>
                <c:pt idx="185">
                  <c:v>21.064</c:v>
                </c:pt>
                <c:pt idx="186">
                  <c:v>21.175999999999998</c:v>
                </c:pt>
                <c:pt idx="187">
                  <c:v>21.289000000000001</c:v>
                </c:pt>
                <c:pt idx="188">
                  <c:v>21.4</c:v>
                </c:pt>
                <c:pt idx="189">
                  <c:v>21.513000000000002</c:v>
                </c:pt>
                <c:pt idx="190">
                  <c:v>21.625</c:v>
                </c:pt>
                <c:pt idx="191">
                  <c:v>21.738</c:v>
                </c:pt>
                <c:pt idx="192">
                  <c:v>21.85</c:v>
                </c:pt>
                <c:pt idx="193">
                  <c:v>21.963000000000001</c:v>
                </c:pt>
                <c:pt idx="194">
                  <c:v>22.074999999999999</c:v>
                </c:pt>
                <c:pt idx="195">
                  <c:v>22.189</c:v>
                </c:pt>
                <c:pt idx="196">
                  <c:v>22.300999999999998</c:v>
                </c:pt>
                <c:pt idx="197">
                  <c:v>22.414999999999999</c:v>
                </c:pt>
                <c:pt idx="198">
                  <c:v>22.529</c:v>
                </c:pt>
                <c:pt idx="199">
                  <c:v>22.643000000000001</c:v>
                </c:pt>
                <c:pt idx="200">
                  <c:v>22.757999999999999</c:v>
                </c:pt>
                <c:pt idx="201">
                  <c:v>22.872</c:v>
                </c:pt>
                <c:pt idx="202">
                  <c:v>22.988</c:v>
                </c:pt>
                <c:pt idx="203">
                  <c:v>23.103000000000002</c:v>
                </c:pt>
                <c:pt idx="204">
                  <c:v>23.219000000000001</c:v>
                </c:pt>
                <c:pt idx="205">
                  <c:v>23.332000000000001</c:v>
                </c:pt>
                <c:pt idx="206">
                  <c:v>23.446000000000002</c:v>
                </c:pt>
                <c:pt idx="207">
                  <c:v>23.561</c:v>
                </c:pt>
                <c:pt idx="208">
                  <c:v>23.675999999999998</c:v>
                </c:pt>
                <c:pt idx="209">
                  <c:v>23.792999999999999</c:v>
                </c:pt>
                <c:pt idx="210">
                  <c:v>23.908000000000001</c:v>
                </c:pt>
                <c:pt idx="211">
                  <c:v>24.023</c:v>
                </c:pt>
                <c:pt idx="212">
                  <c:v>24.138999999999999</c:v>
                </c:pt>
                <c:pt idx="213">
                  <c:v>24.254000000000001</c:v>
                </c:pt>
                <c:pt idx="214">
                  <c:v>24.37</c:v>
                </c:pt>
                <c:pt idx="215">
                  <c:v>24.486000000000001</c:v>
                </c:pt>
                <c:pt idx="216">
                  <c:v>24.600999999999999</c:v>
                </c:pt>
                <c:pt idx="217">
                  <c:v>24.716999999999999</c:v>
                </c:pt>
                <c:pt idx="218">
                  <c:v>24.832999999999998</c:v>
                </c:pt>
                <c:pt idx="219">
                  <c:v>24.946999999999999</c:v>
                </c:pt>
                <c:pt idx="220">
                  <c:v>25.062000000000001</c:v>
                </c:pt>
                <c:pt idx="221">
                  <c:v>25.175999999999998</c:v>
                </c:pt>
                <c:pt idx="222">
                  <c:v>25.292000000000002</c:v>
                </c:pt>
                <c:pt idx="223">
                  <c:v>25.405999999999999</c:v>
                </c:pt>
                <c:pt idx="224">
                  <c:v>25.518999999999998</c:v>
                </c:pt>
                <c:pt idx="225">
                  <c:v>25.634</c:v>
                </c:pt>
                <c:pt idx="226">
                  <c:v>25.748000000000001</c:v>
                </c:pt>
                <c:pt idx="227">
                  <c:v>25.863</c:v>
                </c:pt>
                <c:pt idx="228">
                  <c:v>25.975999999999999</c:v>
                </c:pt>
                <c:pt idx="229">
                  <c:v>26.09</c:v>
                </c:pt>
                <c:pt idx="230">
                  <c:v>26.202000000000002</c:v>
                </c:pt>
                <c:pt idx="231">
                  <c:v>26.314</c:v>
                </c:pt>
                <c:pt idx="232">
                  <c:v>26.425000000000001</c:v>
                </c:pt>
                <c:pt idx="233">
                  <c:v>26.539000000000001</c:v>
                </c:pt>
                <c:pt idx="234">
                  <c:v>26.652000000000001</c:v>
                </c:pt>
                <c:pt idx="235">
                  <c:v>26.766999999999999</c:v>
                </c:pt>
                <c:pt idx="236">
                  <c:v>26.882000000000001</c:v>
                </c:pt>
                <c:pt idx="237">
                  <c:v>26.997</c:v>
                </c:pt>
                <c:pt idx="238">
                  <c:v>27.113</c:v>
                </c:pt>
                <c:pt idx="239">
                  <c:v>27.228000000000002</c:v>
                </c:pt>
                <c:pt idx="240">
                  <c:v>27.344000000000001</c:v>
                </c:pt>
                <c:pt idx="241">
                  <c:v>27.459</c:v>
                </c:pt>
                <c:pt idx="242">
                  <c:v>27.571999999999999</c:v>
                </c:pt>
                <c:pt idx="243">
                  <c:v>27.687000000000001</c:v>
                </c:pt>
                <c:pt idx="244">
                  <c:v>27.800999999999998</c:v>
                </c:pt>
                <c:pt idx="245">
                  <c:v>27.916</c:v>
                </c:pt>
                <c:pt idx="246">
                  <c:v>28.030999999999999</c:v>
                </c:pt>
                <c:pt idx="247">
                  <c:v>28.143999999999998</c:v>
                </c:pt>
                <c:pt idx="248">
                  <c:v>28.257999999999999</c:v>
                </c:pt>
                <c:pt idx="249">
                  <c:v>28.370999999999999</c:v>
                </c:pt>
                <c:pt idx="250">
                  <c:v>28.486000000000001</c:v>
                </c:pt>
                <c:pt idx="251">
                  <c:v>28.6</c:v>
                </c:pt>
                <c:pt idx="252">
                  <c:v>28.713999999999999</c:v>
                </c:pt>
                <c:pt idx="253">
                  <c:v>28.827000000000002</c:v>
                </c:pt>
                <c:pt idx="254">
                  <c:v>28.940999999999999</c:v>
                </c:pt>
                <c:pt idx="255">
                  <c:v>29.056000000000001</c:v>
                </c:pt>
                <c:pt idx="256">
                  <c:v>29.169</c:v>
                </c:pt>
                <c:pt idx="257">
                  <c:v>29.283000000000001</c:v>
                </c:pt>
                <c:pt idx="258">
                  <c:v>29.396000000000001</c:v>
                </c:pt>
                <c:pt idx="259">
                  <c:v>29.51</c:v>
                </c:pt>
                <c:pt idx="260">
                  <c:v>29.623999999999999</c:v>
                </c:pt>
                <c:pt idx="261">
                  <c:v>29.738</c:v>
                </c:pt>
                <c:pt idx="262">
                  <c:v>29.850999999999999</c:v>
                </c:pt>
                <c:pt idx="263">
                  <c:v>29.965</c:v>
                </c:pt>
                <c:pt idx="264">
                  <c:v>30.079000000000001</c:v>
                </c:pt>
                <c:pt idx="265">
                  <c:v>30.193000000000001</c:v>
                </c:pt>
                <c:pt idx="266">
                  <c:v>30.306999999999999</c:v>
                </c:pt>
                <c:pt idx="267">
                  <c:v>30.42</c:v>
                </c:pt>
                <c:pt idx="268">
                  <c:v>30.533999999999999</c:v>
                </c:pt>
                <c:pt idx="269">
                  <c:v>30.646999999999998</c:v>
                </c:pt>
                <c:pt idx="270">
                  <c:v>30.762</c:v>
                </c:pt>
                <c:pt idx="271">
                  <c:v>30.875</c:v>
                </c:pt>
                <c:pt idx="272">
                  <c:v>30.989000000000001</c:v>
                </c:pt>
                <c:pt idx="273">
                  <c:v>31.103000000000002</c:v>
                </c:pt>
                <c:pt idx="274">
                  <c:v>31.216999999999999</c:v>
                </c:pt>
                <c:pt idx="275">
                  <c:v>31.332000000000001</c:v>
                </c:pt>
                <c:pt idx="276">
                  <c:v>31.446000000000002</c:v>
                </c:pt>
                <c:pt idx="277">
                  <c:v>31.561</c:v>
                </c:pt>
                <c:pt idx="278">
                  <c:v>31.673999999999999</c:v>
                </c:pt>
                <c:pt idx="279">
                  <c:v>31.786999999999999</c:v>
                </c:pt>
                <c:pt idx="280">
                  <c:v>31.9</c:v>
                </c:pt>
                <c:pt idx="281">
                  <c:v>32.014000000000003</c:v>
                </c:pt>
                <c:pt idx="282">
                  <c:v>32.127000000000002</c:v>
                </c:pt>
                <c:pt idx="283">
                  <c:v>32.24</c:v>
                </c:pt>
                <c:pt idx="284">
                  <c:v>32.353999999999999</c:v>
                </c:pt>
                <c:pt idx="285">
                  <c:v>32.468000000000004</c:v>
                </c:pt>
                <c:pt idx="286">
                  <c:v>32.582000000000001</c:v>
                </c:pt>
                <c:pt idx="287">
                  <c:v>32.695</c:v>
                </c:pt>
                <c:pt idx="288">
                  <c:v>32.808999999999997</c:v>
                </c:pt>
                <c:pt idx="289">
                  <c:v>32.920999999999999</c:v>
                </c:pt>
                <c:pt idx="290">
                  <c:v>33.033999999999999</c:v>
                </c:pt>
                <c:pt idx="291">
                  <c:v>33.148000000000003</c:v>
                </c:pt>
                <c:pt idx="292">
                  <c:v>33.262999999999998</c:v>
                </c:pt>
                <c:pt idx="293">
                  <c:v>33.377000000000002</c:v>
                </c:pt>
                <c:pt idx="294">
                  <c:v>33.491</c:v>
                </c:pt>
                <c:pt idx="295">
                  <c:v>33.603999999999999</c:v>
                </c:pt>
                <c:pt idx="296">
                  <c:v>33.719000000000001</c:v>
                </c:pt>
                <c:pt idx="297">
                  <c:v>33.832999999999998</c:v>
                </c:pt>
                <c:pt idx="298">
                  <c:v>33.947000000000003</c:v>
                </c:pt>
                <c:pt idx="299">
                  <c:v>34.061999999999998</c:v>
                </c:pt>
                <c:pt idx="300">
                  <c:v>34.176000000000002</c:v>
                </c:pt>
                <c:pt idx="301">
                  <c:v>34.290999999999997</c:v>
                </c:pt>
                <c:pt idx="302">
                  <c:v>34.405999999999999</c:v>
                </c:pt>
                <c:pt idx="303">
                  <c:v>34.520000000000003</c:v>
                </c:pt>
                <c:pt idx="304">
                  <c:v>34.634999999999998</c:v>
                </c:pt>
                <c:pt idx="305">
                  <c:v>34.747999999999998</c:v>
                </c:pt>
                <c:pt idx="306">
                  <c:v>34.862000000000002</c:v>
                </c:pt>
                <c:pt idx="307">
                  <c:v>34.973999999999997</c:v>
                </c:pt>
                <c:pt idx="308">
                  <c:v>35.087000000000003</c:v>
                </c:pt>
                <c:pt idx="309">
                  <c:v>35.198999999999998</c:v>
                </c:pt>
                <c:pt idx="310">
                  <c:v>35.31</c:v>
                </c:pt>
                <c:pt idx="311">
                  <c:v>35.421999999999997</c:v>
                </c:pt>
                <c:pt idx="312">
                  <c:v>35.534999999999997</c:v>
                </c:pt>
                <c:pt idx="313">
                  <c:v>35.646999999999998</c:v>
                </c:pt>
                <c:pt idx="314">
                  <c:v>35.758000000000003</c:v>
                </c:pt>
              </c:numCache>
            </c:numRef>
          </c:xVal>
          <c:yVal>
            <c:numRef>
              <c:f>'data_Lab6_2025-09-29_132005'!$R$2:$R$316</c:f>
              <c:numCache>
                <c:formatCode>General</c:formatCode>
                <c:ptCount val="315"/>
                <c:pt idx="0">
                  <c:v>185.97525541017927</c:v>
                </c:pt>
                <c:pt idx="1">
                  <c:v>186.83611854141097</c:v>
                </c:pt>
                <c:pt idx="2">
                  <c:v>189.60030733097199</c:v>
                </c:pt>
                <c:pt idx="3">
                  <c:v>182.85470262758142</c:v>
                </c:pt>
                <c:pt idx="4">
                  <c:v>184.27476535777066</c:v>
                </c:pt>
                <c:pt idx="5">
                  <c:v>186.41663703679015</c:v>
                </c:pt>
                <c:pt idx="6">
                  <c:v>188.33648692389789</c:v>
                </c:pt>
                <c:pt idx="7">
                  <c:v>185.59050784408993</c:v>
                </c:pt>
                <c:pt idx="8">
                  <c:v>181.71372907456939</c:v>
                </c:pt>
                <c:pt idx="9">
                  <c:v>189.41546940949044</c:v>
                </c:pt>
                <c:pt idx="10">
                  <c:v>185.80408630365707</c:v>
                </c:pt>
                <c:pt idx="11">
                  <c:v>189.89144486739798</c:v>
                </c:pt>
                <c:pt idx="12">
                  <c:v>184.27476535777066</c:v>
                </c:pt>
                <c:pt idx="13">
                  <c:v>188.68191096201329</c:v>
                </c:pt>
                <c:pt idx="14">
                  <c:v>184.19042110007388</c:v>
                </c:pt>
                <c:pt idx="15">
                  <c:v>186.97863207132542</c:v>
                </c:pt>
                <c:pt idx="16">
                  <c:v>183.81979331836354</c:v>
                </c:pt>
                <c:pt idx="17">
                  <c:v>185.32897673744424</c:v>
                </c:pt>
                <c:pt idx="18">
                  <c:v>190.77376610840935</c:v>
                </c:pt>
                <c:pt idx="19">
                  <c:v>184.06995577735461</c:v>
                </c:pt>
                <c:pt idx="20">
                  <c:v>185.97525541017927</c:v>
                </c:pt>
                <c:pt idx="21">
                  <c:v>185.69530203043993</c:v>
                </c:pt>
                <c:pt idx="22">
                  <c:v>186.28403778200783</c:v>
                </c:pt>
                <c:pt idx="23">
                  <c:v>186.31965685179611</c:v>
                </c:pt>
                <c:pt idx="24">
                  <c:v>184.40783324714596</c:v>
                </c:pt>
                <c:pt idx="25">
                  <c:v>187.52761511242028</c:v>
                </c:pt>
                <c:pt idx="26">
                  <c:v>191.93815049450481</c:v>
                </c:pt>
                <c:pt idx="27">
                  <c:v>190.09544520367351</c:v>
                </c:pt>
                <c:pt idx="28">
                  <c:v>188.40591589051564</c:v>
                </c:pt>
                <c:pt idx="29">
                  <c:v>187.52761511242028</c:v>
                </c:pt>
                <c:pt idx="30">
                  <c:v>183.90168835018611</c:v>
                </c:pt>
                <c:pt idx="31">
                  <c:v>185.17755984315136</c:v>
                </c:pt>
                <c:pt idx="32">
                  <c:v>182.4961442838713</c:v>
                </c:pt>
                <c:pt idx="33">
                  <c:v>188.98283962617799</c:v>
                </c:pt>
                <c:pt idx="34">
                  <c:v>192.80807006073414</c:v>
                </c:pt>
                <c:pt idx="35">
                  <c:v>186.95447062754272</c:v>
                </c:pt>
                <c:pt idx="36">
                  <c:v>185.43492429086314</c:v>
                </c:pt>
                <c:pt idx="37">
                  <c:v>186.63289023895931</c:v>
                </c:pt>
                <c:pt idx="38">
                  <c:v>193.96825009061203</c:v>
                </c:pt>
                <c:pt idx="39">
                  <c:v>191.24757992543545</c:v>
                </c:pt>
                <c:pt idx="40">
                  <c:v>193.40768502218398</c:v>
                </c:pt>
                <c:pt idx="41">
                  <c:v>189.41546940949044</c:v>
                </c:pt>
                <c:pt idx="42">
                  <c:v>190.6438140287346</c:v>
                </c:pt>
                <c:pt idx="43">
                  <c:v>191.56358664966692</c:v>
                </c:pt>
                <c:pt idx="44">
                  <c:v>192.29629918877029</c:v>
                </c:pt>
                <c:pt idx="45">
                  <c:v>194.52610008431589</c:v>
                </c:pt>
                <c:pt idx="46">
                  <c:v>193.50980395328136</c:v>
                </c:pt>
                <c:pt idx="47">
                  <c:v>195.97692163713702</c:v>
                </c:pt>
                <c:pt idx="48">
                  <c:v>190.56731975680023</c:v>
                </c:pt>
                <c:pt idx="49">
                  <c:v>193.89683795344664</c:v>
                </c:pt>
                <c:pt idx="50">
                  <c:v>198.46079265495962</c:v>
                </c:pt>
                <c:pt idx="51">
                  <c:v>198.06320951338293</c:v>
                </c:pt>
                <c:pt idx="52">
                  <c:v>194.80398015627046</c:v>
                </c:pt>
                <c:pt idx="53">
                  <c:v>194.80398015627046</c:v>
                </c:pt>
                <c:pt idx="54">
                  <c:v>188.94758475481564</c:v>
                </c:pt>
                <c:pt idx="55">
                  <c:v>184.40783324714596</c:v>
                </c:pt>
                <c:pt idx="56">
                  <c:v>181.89211887535893</c:v>
                </c:pt>
                <c:pt idx="57">
                  <c:v>169.27035605186956</c:v>
                </c:pt>
                <c:pt idx="58">
                  <c:v>156.72105080199734</c:v>
                </c:pt>
                <c:pt idx="59">
                  <c:v>157.18917062967046</c:v>
                </c:pt>
                <c:pt idx="60">
                  <c:v>142.74239486011203</c:v>
                </c:pt>
                <c:pt idx="61">
                  <c:v>139.28915332881903</c:v>
                </c:pt>
                <c:pt idx="62">
                  <c:v>128.54033851339295</c:v>
                </c:pt>
                <c:pt idx="63">
                  <c:v>122.86293972175872</c:v>
                </c:pt>
                <c:pt idx="64">
                  <c:v>110.938341089254</c:v>
                </c:pt>
                <c:pt idx="65">
                  <c:v>101.26290448498082</c:v>
                </c:pt>
                <c:pt idx="66">
                  <c:v>98.28013460234142</c:v>
                </c:pt>
                <c:pt idx="67">
                  <c:v>90</c:v>
                </c:pt>
                <c:pt idx="68">
                  <c:v>77.768714555013091</c:v>
                </c:pt>
                <c:pt idx="69">
                  <c:v>67.249899578748298</c:v>
                </c:pt>
                <c:pt idx="70">
                  <c:v>66.583350719945813</c:v>
                </c:pt>
                <c:pt idx="71">
                  <c:v>51.026008193899081</c:v>
                </c:pt>
                <c:pt idx="72">
                  <c:v>44.499968343848053</c:v>
                </c:pt>
                <c:pt idx="73">
                  <c:v>40.857677201808947</c:v>
                </c:pt>
                <c:pt idx="74">
                  <c:v>29.449524129625701</c:v>
                </c:pt>
                <c:pt idx="75">
                  <c:v>25.826662526824002</c:v>
                </c:pt>
                <c:pt idx="76">
                  <c:v>14.258247314669145</c:v>
                </c:pt>
                <c:pt idx="77">
                  <c:v>5.7191236111157231</c:v>
                </c:pt>
                <c:pt idx="78">
                  <c:v>1.1011339412895318</c:v>
                </c:pt>
                <c:pt idx="79">
                  <c:v>348.90117850692167</c:v>
                </c:pt>
                <c:pt idx="80">
                  <c:v>341.62119596999725</c:v>
                </c:pt>
                <c:pt idx="81">
                  <c:v>333.20260122514884</c:v>
                </c:pt>
                <c:pt idx="82">
                  <c:v>328.58367958207998</c:v>
                </c:pt>
                <c:pt idx="83">
                  <c:v>314.916173023216</c:v>
                </c:pt>
                <c:pt idx="84">
                  <c:v>305.90669574392547</c:v>
                </c:pt>
                <c:pt idx="85">
                  <c:v>292.44903347770889</c:v>
                </c:pt>
                <c:pt idx="86">
                  <c:v>286.06092934657971</c:v>
                </c:pt>
                <c:pt idx="87">
                  <c:v>281.26290448498082</c:v>
                </c:pt>
                <c:pt idx="88">
                  <c:v>271.21776514582342</c:v>
                </c:pt>
                <c:pt idx="89">
                  <c:v>257.60541300551699</c:v>
                </c:pt>
                <c:pt idx="90">
                  <c:v>246.78185387197152</c:v>
                </c:pt>
                <c:pt idx="91">
                  <c:v>236.96252703525442</c:v>
                </c:pt>
                <c:pt idx="92">
                  <c:v>226.17340593401914</c:v>
                </c:pt>
                <c:pt idx="93">
                  <c:v>221.91899736064761</c:v>
                </c:pt>
                <c:pt idx="94">
                  <c:v>212.5868219005884</c:v>
                </c:pt>
                <c:pt idx="95">
                  <c:v>202.3481083479094</c:v>
                </c:pt>
                <c:pt idx="96">
                  <c:v>193.70985985454601</c:v>
                </c:pt>
                <c:pt idx="97">
                  <c:v>182.20145508101595</c:v>
                </c:pt>
                <c:pt idx="98">
                  <c:v>173.04552937245728</c:v>
                </c:pt>
                <c:pt idx="99">
                  <c:v>170.49300170472009</c:v>
                </c:pt>
                <c:pt idx="100">
                  <c:v>158.92250588301326</c:v>
                </c:pt>
                <c:pt idx="101">
                  <c:v>149.16386341616186</c:v>
                </c:pt>
                <c:pt idx="102">
                  <c:v>141.59060876814888</c:v>
                </c:pt>
                <c:pt idx="103">
                  <c:v>128.80116268649431</c:v>
                </c:pt>
                <c:pt idx="104">
                  <c:v>126.68362104554328</c:v>
                </c:pt>
                <c:pt idx="105">
                  <c:v>114.5943173259612</c:v>
                </c:pt>
                <c:pt idx="106">
                  <c:v>107.98287546176394</c:v>
                </c:pt>
                <c:pt idx="107">
                  <c:v>99.211026540816661</c:v>
                </c:pt>
                <c:pt idx="108">
                  <c:v>91.153008381329485</c:v>
                </c:pt>
                <c:pt idx="109">
                  <c:v>87.766134214964055</c:v>
                </c:pt>
                <c:pt idx="110">
                  <c:v>79.061987899416593</c:v>
                </c:pt>
                <c:pt idx="111">
                  <c:v>70.81546928981895</c:v>
                </c:pt>
                <c:pt idx="112">
                  <c:v>60.990753538307359</c:v>
                </c:pt>
                <c:pt idx="113">
                  <c:v>53.766969576749254</c:v>
                </c:pt>
                <c:pt idx="114">
                  <c:v>40.938344985508458</c:v>
                </c:pt>
                <c:pt idx="115">
                  <c:v>34.233711743811675</c:v>
                </c:pt>
                <c:pt idx="116">
                  <c:v>26.625774425140932</c:v>
                </c:pt>
                <c:pt idx="117">
                  <c:v>22.609297020798493</c:v>
                </c:pt>
                <c:pt idx="118">
                  <c:v>16.806459265126669</c:v>
                </c:pt>
                <c:pt idx="119">
                  <c:v>4.6489877461399809</c:v>
                </c:pt>
                <c:pt idx="120">
                  <c:v>0.61179315224849395</c:v>
                </c:pt>
                <c:pt idx="121">
                  <c:v>352.97868099430792</c:v>
                </c:pt>
                <c:pt idx="122">
                  <c:v>336.9727211947984</c:v>
                </c:pt>
                <c:pt idx="123">
                  <c:v>329.57421619803876</c:v>
                </c:pt>
                <c:pt idx="124">
                  <c:v>323.87309861776532</c:v>
                </c:pt>
                <c:pt idx="125">
                  <c:v>318.05804125001612</c:v>
                </c:pt>
                <c:pt idx="126">
                  <c:v>303.18417726745975</c:v>
                </c:pt>
                <c:pt idx="127">
                  <c:v>296.8038700102021</c:v>
                </c:pt>
                <c:pt idx="128">
                  <c:v>292.44903347770889</c:v>
                </c:pt>
                <c:pt idx="129">
                  <c:v>275.14788482413633</c:v>
                </c:pt>
                <c:pt idx="130">
                  <c:v>269.42343743712871</c:v>
                </c:pt>
                <c:pt idx="131">
                  <c:v>253.34135507153243</c:v>
                </c:pt>
                <c:pt idx="132">
                  <c:v>247.71078993555096</c:v>
                </c:pt>
                <c:pt idx="133">
                  <c:v>240.70897188208053</c:v>
                </c:pt>
                <c:pt idx="134">
                  <c:v>229.22288313089709</c:v>
                </c:pt>
                <c:pt idx="135">
                  <c:v>221.81280727679498</c:v>
                </c:pt>
                <c:pt idx="136">
                  <c:v>210.11970815208318</c:v>
                </c:pt>
                <c:pt idx="137">
                  <c:v>202.70698834709947</c:v>
                </c:pt>
                <c:pt idx="138">
                  <c:v>190.93105779543913</c:v>
                </c:pt>
                <c:pt idx="139">
                  <c:v>187.8250598548255</c:v>
                </c:pt>
                <c:pt idx="140">
                  <c:v>178.12737354422859</c:v>
                </c:pt>
                <c:pt idx="141">
                  <c:v>174.34006176886157</c:v>
                </c:pt>
                <c:pt idx="142">
                  <c:v>161.31005623837299</c:v>
                </c:pt>
                <c:pt idx="143">
                  <c:v>156.18121386616085</c:v>
                </c:pt>
                <c:pt idx="144">
                  <c:v>144.0485315261468</c:v>
                </c:pt>
                <c:pt idx="145">
                  <c:v>137.13181848541487</c:v>
                </c:pt>
                <c:pt idx="146">
                  <c:v>126.84736686465652</c:v>
                </c:pt>
                <c:pt idx="147">
                  <c:v>115.31288380187415</c:v>
                </c:pt>
                <c:pt idx="148">
                  <c:v>109.94984715132848</c:v>
                </c:pt>
                <c:pt idx="149">
                  <c:v>102.27441677624675</c:v>
                </c:pt>
                <c:pt idx="150">
                  <c:v>96.59500575474388</c:v>
                </c:pt>
                <c:pt idx="151">
                  <c:v>84.372467315457058</c:v>
                </c:pt>
                <c:pt idx="152">
                  <c:v>80.953380415381417</c:v>
                </c:pt>
                <c:pt idx="153">
                  <c:v>71.600794016803889</c:v>
                </c:pt>
                <c:pt idx="154">
                  <c:v>67.316237389739314</c:v>
                </c:pt>
                <c:pt idx="155">
                  <c:v>58.827511784408145</c:v>
                </c:pt>
                <c:pt idx="156">
                  <c:v>47.806701248024631</c:v>
                </c:pt>
                <c:pt idx="157">
                  <c:v>44.559358835283369</c:v>
                </c:pt>
                <c:pt idx="158">
                  <c:v>32.386372545981267</c:v>
                </c:pt>
                <c:pt idx="159">
                  <c:v>23.994457602597365</c:v>
                </c:pt>
                <c:pt idx="160">
                  <c:v>13.837872408309712</c:v>
                </c:pt>
                <c:pt idx="161">
                  <c:v>12.763827939129094</c:v>
                </c:pt>
                <c:pt idx="162">
                  <c:v>4.2321738045539492</c:v>
                </c:pt>
                <c:pt idx="163">
                  <c:v>351.41206440352397</c:v>
                </c:pt>
                <c:pt idx="164">
                  <c:v>349.2157021324374</c:v>
                </c:pt>
                <c:pt idx="165">
                  <c:v>340.40545654255322</c:v>
                </c:pt>
                <c:pt idx="166">
                  <c:v>329.23033411952156</c:v>
                </c:pt>
                <c:pt idx="167">
                  <c:v>322.31292800213748</c:v>
                </c:pt>
                <c:pt idx="168">
                  <c:v>314.20396937617625</c:v>
                </c:pt>
                <c:pt idx="169">
                  <c:v>300.77784167582462</c:v>
                </c:pt>
                <c:pt idx="170">
                  <c:v>294.79569060244711</c:v>
                </c:pt>
                <c:pt idx="171">
                  <c:v>281.93265380499781</c:v>
                </c:pt>
                <c:pt idx="172">
                  <c:v>272.35513834516894</c:v>
                </c:pt>
                <c:pt idx="173">
                  <c:v>268.73976814351948</c:v>
                </c:pt>
                <c:pt idx="174">
                  <c:v>256.98025348183825</c:v>
                </c:pt>
                <c:pt idx="175">
                  <c:v>248.71873048135728</c:v>
                </c:pt>
                <c:pt idx="176">
                  <c:v>239.0417980757145</c:v>
                </c:pt>
                <c:pt idx="177">
                  <c:v>230.59760133644485</c:v>
                </c:pt>
                <c:pt idx="178">
                  <c:v>220.89560584581926</c:v>
                </c:pt>
                <c:pt idx="179">
                  <c:v>214.65256905941885</c:v>
                </c:pt>
                <c:pt idx="180">
                  <c:v>207.33106918472299</c:v>
                </c:pt>
                <c:pt idx="181">
                  <c:v>198.83008586542951</c:v>
                </c:pt>
                <c:pt idx="182">
                  <c:v>185.80408630365707</c:v>
                </c:pt>
                <c:pt idx="183">
                  <c:v>179.423164022626</c:v>
                </c:pt>
                <c:pt idx="184">
                  <c:v>174.34006176886157</c:v>
                </c:pt>
                <c:pt idx="185">
                  <c:v>160.23011302770976</c:v>
                </c:pt>
                <c:pt idx="186">
                  <c:v>150.93393387966779</c:v>
                </c:pt>
                <c:pt idx="187">
                  <c:v>142.6880234085877</c:v>
                </c:pt>
                <c:pt idx="188">
                  <c:v>138.29831012521174</c:v>
                </c:pt>
                <c:pt idx="189">
                  <c:v>124.65487204235011</c:v>
                </c:pt>
                <c:pt idx="190">
                  <c:v>121.44178594434128</c:v>
                </c:pt>
                <c:pt idx="191">
                  <c:v>112.13936617589897</c:v>
                </c:pt>
                <c:pt idx="192">
                  <c:v>109.86846758257022</c:v>
                </c:pt>
                <c:pt idx="193">
                  <c:v>97.268448168074627</c:v>
                </c:pt>
                <c:pt idx="194">
                  <c:v>84.372467315457058</c:v>
                </c:pt>
                <c:pt idx="195">
                  <c:v>83.404994245256106</c:v>
                </c:pt>
                <c:pt idx="196">
                  <c:v>74.715767590345735</c:v>
                </c:pt>
                <c:pt idx="197">
                  <c:v>67.932100437589796</c:v>
                </c:pt>
                <c:pt idx="198">
                  <c:v>56.399363899071282</c:v>
                </c:pt>
                <c:pt idx="199">
                  <c:v>48.967918137986906</c:v>
                </c:pt>
                <c:pt idx="200">
                  <c:v>46.996700264856479</c:v>
                </c:pt>
                <c:pt idx="201">
                  <c:v>35.174722957851543</c:v>
                </c:pt>
                <c:pt idx="202">
                  <c:v>29.968754261230028</c:v>
                </c:pt>
                <c:pt idx="203">
                  <c:v>26.599504437815959</c:v>
                </c:pt>
                <c:pt idx="204">
                  <c:v>15.743397011528684</c:v>
                </c:pt>
                <c:pt idx="205">
                  <c:v>7.0213190056920736</c:v>
                </c:pt>
                <c:pt idx="206">
                  <c:v>1.6665891955206069</c:v>
                </c:pt>
                <c:pt idx="207">
                  <c:v>348.90117850692167</c:v>
                </c:pt>
                <c:pt idx="208">
                  <c:v>341.50994464736681</c:v>
                </c:pt>
                <c:pt idx="209">
                  <c:v>330.03124573877</c:v>
                </c:pt>
                <c:pt idx="210">
                  <c:v>324.82527704214846</c:v>
                </c:pt>
                <c:pt idx="211">
                  <c:v>317.06839794578178</c:v>
                </c:pt>
                <c:pt idx="212">
                  <c:v>307.86470216599764</c:v>
                </c:pt>
                <c:pt idx="213">
                  <c:v>295.56119649176503</c:v>
                </c:pt>
                <c:pt idx="214">
                  <c:v>294.72731438669013</c:v>
                </c:pt>
                <c:pt idx="215">
                  <c:v>283.0319085451361</c:v>
                </c:pt>
                <c:pt idx="216">
                  <c:v>274.41562173463774</c:v>
                </c:pt>
                <c:pt idx="217">
                  <c:v>268.73976814351948</c:v>
                </c:pt>
                <c:pt idx="218">
                  <c:v>257.38659432049974</c:v>
                </c:pt>
                <c:pt idx="219">
                  <c:v>251.93428196621869</c:v>
                </c:pt>
                <c:pt idx="220">
                  <c:v>239.0417980757145</c:v>
                </c:pt>
                <c:pt idx="221">
                  <c:v>235.76002765462897</c:v>
                </c:pt>
                <c:pt idx="222">
                  <c:v>220.57739508695957</c:v>
                </c:pt>
                <c:pt idx="223">
                  <c:v>214.51940331027083</c:v>
                </c:pt>
                <c:pt idx="224">
                  <c:v>205.33811220558258</c:v>
                </c:pt>
                <c:pt idx="225">
                  <c:v>196.88493604253159</c:v>
                </c:pt>
                <c:pt idx="226">
                  <c:v>193.22024181321555</c:v>
                </c:pt>
                <c:pt idx="227">
                  <c:v>175.59216675285404</c:v>
                </c:pt>
                <c:pt idx="228">
                  <c:v>170.55855817716991</c:v>
                </c:pt>
                <c:pt idx="229">
                  <c:v>170.76244610208207</c:v>
                </c:pt>
                <c:pt idx="230">
                  <c:v>164.48356482957104</c:v>
                </c:pt>
                <c:pt idx="231">
                  <c:v>165.19601984372949</c:v>
                </c:pt>
                <c:pt idx="232">
                  <c:v>162.27605117423951</c:v>
                </c:pt>
                <c:pt idx="233">
                  <c:v>161.98160271073985</c:v>
                </c:pt>
                <c:pt idx="234">
                  <c:v>169.43268024319977</c:v>
                </c:pt>
                <c:pt idx="235">
                  <c:v>172.31411775870993</c:v>
                </c:pt>
                <c:pt idx="236">
                  <c:v>180</c:v>
                </c:pt>
                <c:pt idx="237">
                  <c:v>183.99341498828073</c:v>
                </c:pt>
                <c:pt idx="238">
                  <c:v>185.84127391516679</c:v>
                </c:pt>
                <c:pt idx="239">
                  <c:v>187.45673413299664</c:v>
                </c:pt>
                <c:pt idx="240">
                  <c:v>196.48875370589127</c:v>
                </c:pt>
                <c:pt idx="241">
                  <c:v>190.53543587787689</c:v>
                </c:pt>
                <c:pt idx="242">
                  <c:v>186.95447062754272</c:v>
                </c:pt>
                <c:pt idx="243">
                  <c:v>194.80398015627046</c:v>
                </c:pt>
                <c:pt idx="244">
                  <c:v>192.60545084878081</c:v>
                </c:pt>
                <c:pt idx="245">
                  <c:v>191.24757992543545</c:v>
                </c:pt>
                <c:pt idx="246">
                  <c:v>192.44687771547549</c:v>
                </c:pt>
                <c:pt idx="247">
                  <c:v>188.09924841017386</c:v>
                </c:pt>
                <c:pt idx="248">
                  <c:v>183.05618024014109</c:v>
                </c:pt>
                <c:pt idx="249">
                  <c:v>182.20145508101595</c:v>
                </c:pt>
                <c:pt idx="250">
                  <c:v>184.19042110007388</c:v>
                </c:pt>
                <c:pt idx="251">
                  <c:v>182.42135045900784</c:v>
                </c:pt>
                <c:pt idx="252">
                  <c:v>188.40591589051564</c:v>
                </c:pt>
                <c:pt idx="253">
                  <c:v>185.60196141898604</c:v>
                </c:pt>
                <c:pt idx="254">
                  <c:v>184.19042110007388</c:v>
                </c:pt>
                <c:pt idx="255">
                  <c:v>185.08129444871852</c:v>
                </c:pt>
                <c:pt idx="256">
                  <c:v>188.06393551784512</c:v>
                </c:pt>
                <c:pt idx="257">
                  <c:v>182.54862611122019</c:v>
                </c:pt>
                <c:pt idx="258">
                  <c:v>187.158926254834</c:v>
                </c:pt>
                <c:pt idx="259">
                  <c:v>189.41546940949044</c:v>
                </c:pt>
                <c:pt idx="260">
                  <c:v>183.74126071687556</c:v>
                </c:pt>
                <c:pt idx="261">
                  <c:v>183.3001542116838</c:v>
                </c:pt>
                <c:pt idx="262">
                  <c:v>182.9095073155321</c:v>
                </c:pt>
                <c:pt idx="263">
                  <c:v>188.09924841017386</c:v>
                </c:pt>
                <c:pt idx="264">
                  <c:v>184.06995577735461</c:v>
                </c:pt>
                <c:pt idx="265">
                  <c:v>180.6244064553982</c:v>
                </c:pt>
                <c:pt idx="266">
                  <c:v>185.17755984315136</c:v>
                </c:pt>
                <c:pt idx="267">
                  <c:v>182.30617565615458</c:v>
                </c:pt>
                <c:pt idx="268">
                  <c:v>182.4961442838713</c:v>
                </c:pt>
                <c:pt idx="269">
                  <c:v>188.09924841017386</c:v>
                </c:pt>
                <c:pt idx="270">
                  <c:v>183.81979331836354</c:v>
                </c:pt>
                <c:pt idx="271">
                  <c:v>174.87102330687574</c:v>
                </c:pt>
                <c:pt idx="272">
                  <c:v>187.59464336859145</c:v>
                </c:pt>
                <c:pt idx="273">
                  <c:v>185.80408630365707</c:v>
                </c:pt>
                <c:pt idx="274">
                  <c:v>186.41663703679015</c:v>
                </c:pt>
                <c:pt idx="275">
                  <c:v>182.85470262758142</c:v>
                </c:pt>
                <c:pt idx="276">
                  <c:v>189.62252668758472</c:v>
                </c:pt>
                <c:pt idx="277">
                  <c:v>180</c:v>
                </c:pt>
                <c:pt idx="278">
                  <c:v>178.87847985033582</c:v>
                </c:pt>
                <c:pt idx="279">
                  <c:v>182.37392785832242</c:v>
                </c:pt>
                <c:pt idx="280">
                  <c:v>185.17755984315136</c:v>
                </c:pt>
                <c:pt idx="281">
                  <c:v>180.60567567879011</c:v>
                </c:pt>
                <c:pt idx="282">
                  <c:v>179.40619945604416</c:v>
                </c:pt>
                <c:pt idx="283">
                  <c:v>185.32897673744424</c:v>
                </c:pt>
                <c:pt idx="284">
                  <c:v>183.74126071687556</c:v>
                </c:pt>
                <c:pt idx="285">
                  <c:v>183.99341498828073</c:v>
                </c:pt>
                <c:pt idx="286">
                  <c:v>183.74126071687556</c:v>
                </c:pt>
                <c:pt idx="287">
                  <c:v>174.61856936508184</c:v>
                </c:pt>
                <c:pt idx="288">
                  <c:v>172.3265266352235</c:v>
                </c:pt>
                <c:pt idx="289">
                  <c:v>179.423164022626</c:v>
                </c:pt>
                <c:pt idx="290">
                  <c:v>182.42135045900784</c:v>
                </c:pt>
                <c:pt idx="291">
                  <c:v>182.42135045900784</c:v>
                </c:pt>
                <c:pt idx="292">
                  <c:v>183.05618024014109</c:v>
                </c:pt>
                <c:pt idx="293">
                  <c:v>179.39432432120989</c:v>
                </c:pt>
                <c:pt idx="294">
                  <c:v>179.36244921942173</c:v>
                </c:pt>
                <c:pt idx="295">
                  <c:v>185.59050784408993</c:v>
                </c:pt>
                <c:pt idx="296">
                  <c:v>178.80077269503451</c:v>
                </c:pt>
                <c:pt idx="297">
                  <c:v>183.81407483429035</c:v>
                </c:pt>
                <c:pt idx="298">
                  <c:v>186.41663703679015</c:v>
                </c:pt>
                <c:pt idx="299">
                  <c:v>185.32897673744424</c:v>
                </c:pt>
                <c:pt idx="300">
                  <c:v>191.09882149307833</c:v>
                </c:pt>
                <c:pt idx="301">
                  <c:v>186.50395893353812</c:v>
                </c:pt>
                <c:pt idx="302">
                  <c:v>189.89144486739798</c:v>
                </c:pt>
                <c:pt idx="303">
                  <c:v>195.54632727307904</c:v>
                </c:pt>
                <c:pt idx="304">
                  <c:v>196.29898402430047</c:v>
                </c:pt>
                <c:pt idx="305">
                  <c:v>190.2568198416964</c:v>
                </c:pt>
                <c:pt idx="306">
                  <c:v>196.29898402430047</c:v>
                </c:pt>
                <c:pt idx="307">
                  <c:v>199.41148685868356</c:v>
                </c:pt>
                <c:pt idx="308">
                  <c:v>190.93105779543913</c:v>
                </c:pt>
                <c:pt idx="309">
                  <c:v>192.15271312192414</c:v>
                </c:pt>
                <c:pt idx="310">
                  <c:v>195.10470546156677</c:v>
                </c:pt>
                <c:pt idx="311">
                  <c:v>194.10105767049811</c:v>
                </c:pt>
                <c:pt idx="312">
                  <c:v>190.77376610840935</c:v>
                </c:pt>
                <c:pt idx="313">
                  <c:v>192.60545084878081</c:v>
                </c:pt>
                <c:pt idx="314">
                  <c:v>195.1180514060957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7-48C0-977D-041EDC618CE7}"/>
            </c:ext>
          </c:extLst>
        </c:ser>
        <c:ser>
          <c:idx val="1"/>
          <c:order val="1"/>
          <c:tx>
            <c:v>gyro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'data_Lab6_2025-09-29_132005'!$L$2:$L$316</c:f>
              <c:numCache>
                <c:formatCode>General</c:formatCode>
                <c:ptCount val="315"/>
                <c:pt idx="0">
                  <c:v>0</c:v>
                </c:pt>
                <c:pt idx="1">
                  <c:v>0.1</c:v>
                </c:pt>
                <c:pt idx="2">
                  <c:v>0.20499999999999999</c:v>
                </c:pt>
                <c:pt idx="3">
                  <c:v>0.318</c:v>
                </c:pt>
                <c:pt idx="4">
                  <c:v>0.432</c:v>
                </c:pt>
                <c:pt idx="5">
                  <c:v>0.54400000000000004</c:v>
                </c:pt>
                <c:pt idx="6">
                  <c:v>0.65700000000000003</c:v>
                </c:pt>
                <c:pt idx="7">
                  <c:v>0.76900000000000002</c:v>
                </c:pt>
                <c:pt idx="8">
                  <c:v>0.88300000000000001</c:v>
                </c:pt>
                <c:pt idx="9">
                  <c:v>0.995</c:v>
                </c:pt>
                <c:pt idx="10">
                  <c:v>1.1080000000000001</c:v>
                </c:pt>
                <c:pt idx="11">
                  <c:v>1.2210000000000001</c:v>
                </c:pt>
                <c:pt idx="12">
                  <c:v>1.3340000000000001</c:v>
                </c:pt>
                <c:pt idx="13">
                  <c:v>1.446</c:v>
                </c:pt>
                <c:pt idx="14">
                  <c:v>1.56</c:v>
                </c:pt>
                <c:pt idx="15">
                  <c:v>1.673</c:v>
                </c:pt>
                <c:pt idx="16">
                  <c:v>1.786</c:v>
                </c:pt>
                <c:pt idx="17">
                  <c:v>1.899</c:v>
                </c:pt>
                <c:pt idx="18">
                  <c:v>2.0129999999999999</c:v>
                </c:pt>
                <c:pt idx="19">
                  <c:v>2.125</c:v>
                </c:pt>
                <c:pt idx="20">
                  <c:v>2.238</c:v>
                </c:pt>
                <c:pt idx="21">
                  <c:v>2.351</c:v>
                </c:pt>
                <c:pt idx="22">
                  <c:v>2.4649999999999999</c:v>
                </c:pt>
                <c:pt idx="23">
                  <c:v>2.58</c:v>
                </c:pt>
                <c:pt idx="24">
                  <c:v>2.694</c:v>
                </c:pt>
                <c:pt idx="25">
                  <c:v>2.8079999999999998</c:v>
                </c:pt>
                <c:pt idx="26">
                  <c:v>2.9209999999999998</c:v>
                </c:pt>
                <c:pt idx="27">
                  <c:v>3.036</c:v>
                </c:pt>
                <c:pt idx="28">
                  <c:v>3.149</c:v>
                </c:pt>
                <c:pt idx="29">
                  <c:v>3.2639999999999998</c:v>
                </c:pt>
                <c:pt idx="30">
                  <c:v>3.379</c:v>
                </c:pt>
                <c:pt idx="31">
                  <c:v>3.4929999999999999</c:v>
                </c:pt>
                <c:pt idx="32">
                  <c:v>3.6059999999999999</c:v>
                </c:pt>
                <c:pt idx="33">
                  <c:v>3.7210000000000001</c:v>
                </c:pt>
                <c:pt idx="34">
                  <c:v>3.8359999999999999</c:v>
                </c:pt>
                <c:pt idx="35">
                  <c:v>3.9489999999999998</c:v>
                </c:pt>
                <c:pt idx="36">
                  <c:v>4.0640000000000001</c:v>
                </c:pt>
                <c:pt idx="37">
                  <c:v>4.1779999999999999</c:v>
                </c:pt>
                <c:pt idx="38">
                  <c:v>4.2919999999999998</c:v>
                </c:pt>
                <c:pt idx="39">
                  <c:v>4.4059999999999997</c:v>
                </c:pt>
                <c:pt idx="40">
                  <c:v>4.5199999999999996</c:v>
                </c:pt>
                <c:pt idx="41">
                  <c:v>4.633</c:v>
                </c:pt>
                <c:pt idx="42">
                  <c:v>4.7480000000000002</c:v>
                </c:pt>
                <c:pt idx="43">
                  <c:v>4.8630000000000004</c:v>
                </c:pt>
                <c:pt idx="44">
                  <c:v>4.9770000000000003</c:v>
                </c:pt>
                <c:pt idx="45">
                  <c:v>5.0919999999999996</c:v>
                </c:pt>
                <c:pt idx="46">
                  <c:v>5.2060000000000004</c:v>
                </c:pt>
                <c:pt idx="47">
                  <c:v>5.3209999999999997</c:v>
                </c:pt>
                <c:pt idx="48">
                  <c:v>5.4359999999999999</c:v>
                </c:pt>
                <c:pt idx="49">
                  <c:v>5.55</c:v>
                </c:pt>
                <c:pt idx="50">
                  <c:v>5.665</c:v>
                </c:pt>
                <c:pt idx="51">
                  <c:v>5.7789999999999999</c:v>
                </c:pt>
                <c:pt idx="52">
                  <c:v>5.8929999999999998</c:v>
                </c:pt>
                <c:pt idx="53">
                  <c:v>6.0069999999999997</c:v>
                </c:pt>
                <c:pt idx="54">
                  <c:v>6.1219999999999999</c:v>
                </c:pt>
                <c:pt idx="55">
                  <c:v>6.2370000000000001</c:v>
                </c:pt>
                <c:pt idx="56">
                  <c:v>6.351</c:v>
                </c:pt>
                <c:pt idx="57">
                  <c:v>6.4649999999999999</c:v>
                </c:pt>
                <c:pt idx="58">
                  <c:v>6.577</c:v>
                </c:pt>
                <c:pt idx="59">
                  <c:v>6.69</c:v>
                </c:pt>
                <c:pt idx="60">
                  <c:v>6.8010000000000002</c:v>
                </c:pt>
                <c:pt idx="61">
                  <c:v>6.9130000000000003</c:v>
                </c:pt>
                <c:pt idx="62">
                  <c:v>7.0229999999999997</c:v>
                </c:pt>
                <c:pt idx="63">
                  <c:v>7.1360000000000001</c:v>
                </c:pt>
                <c:pt idx="64">
                  <c:v>7.2469999999999999</c:v>
                </c:pt>
                <c:pt idx="65">
                  <c:v>7.3579999999999997</c:v>
                </c:pt>
                <c:pt idx="66">
                  <c:v>7.47</c:v>
                </c:pt>
                <c:pt idx="67">
                  <c:v>7.5810000000000004</c:v>
                </c:pt>
                <c:pt idx="68">
                  <c:v>7.694</c:v>
                </c:pt>
                <c:pt idx="69">
                  <c:v>7.8079999999999998</c:v>
                </c:pt>
                <c:pt idx="70">
                  <c:v>7.9219999999999997</c:v>
                </c:pt>
                <c:pt idx="71">
                  <c:v>8.0359999999999996</c:v>
                </c:pt>
                <c:pt idx="72">
                  <c:v>8.1489999999999991</c:v>
                </c:pt>
                <c:pt idx="73">
                  <c:v>8.2639999999999993</c:v>
                </c:pt>
                <c:pt idx="74">
                  <c:v>8.3780000000000001</c:v>
                </c:pt>
                <c:pt idx="75">
                  <c:v>8.4930000000000003</c:v>
                </c:pt>
                <c:pt idx="76">
                  <c:v>8.6050000000000004</c:v>
                </c:pt>
                <c:pt idx="77">
                  <c:v>8.7200000000000006</c:v>
                </c:pt>
                <c:pt idx="78">
                  <c:v>8.8350000000000009</c:v>
                </c:pt>
                <c:pt idx="79">
                  <c:v>8.9489999999999998</c:v>
                </c:pt>
                <c:pt idx="80">
                  <c:v>9.0660000000000007</c:v>
                </c:pt>
                <c:pt idx="81">
                  <c:v>9.1809999999999992</c:v>
                </c:pt>
                <c:pt idx="82">
                  <c:v>9.2970000000000006</c:v>
                </c:pt>
                <c:pt idx="83">
                  <c:v>9.4130000000000003</c:v>
                </c:pt>
                <c:pt idx="84">
                  <c:v>9.5280000000000005</c:v>
                </c:pt>
                <c:pt idx="85">
                  <c:v>9.6440000000000001</c:v>
                </c:pt>
                <c:pt idx="86">
                  <c:v>9.76</c:v>
                </c:pt>
                <c:pt idx="87">
                  <c:v>9.875</c:v>
                </c:pt>
                <c:pt idx="88">
                  <c:v>9.9909999999999997</c:v>
                </c:pt>
                <c:pt idx="89">
                  <c:v>10.106</c:v>
                </c:pt>
                <c:pt idx="90">
                  <c:v>10.221</c:v>
                </c:pt>
                <c:pt idx="91">
                  <c:v>10.337</c:v>
                </c:pt>
                <c:pt idx="92">
                  <c:v>10.451000000000001</c:v>
                </c:pt>
                <c:pt idx="93">
                  <c:v>10.566000000000001</c:v>
                </c:pt>
                <c:pt idx="94">
                  <c:v>10.68</c:v>
                </c:pt>
                <c:pt idx="95">
                  <c:v>10.795</c:v>
                </c:pt>
                <c:pt idx="96">
                  <c:v>10.91</c:v>
                </c:pt>
                <c:pt idx="97">
                  <c:v>11.023999999999999</c:v>
                </c:pt>
                <c:pt idx="98">
                  <c:v>11.138999999999999</c:v>
                </c:pt>
                <c:pt idx="99">
                  <c:v>11.250999999999999</c:v>
                </c:pt>
                <c:pt idx="100">
                  <c:v>11.364000000000001</c:v>
                </c:pt>
                <c:pt idx="101">
                  <c:v>11.474</c:v>
                </c:pt>
                <c:pt idx="102">
                  <c:v>11.586</c:v>
                </c:pt>
                <c:pt idx="103">
                  <c:v>11.696999999999999</c:v>
                </c:pt>
                <c:pt idx="104">
                  <c:v>11.81</c:v>
                </c:pt>
                <c:pt idx="105">
                  <c:v>11.922000000000001</c:v>
                </c:pt>
                <c:pt idx="106">
                  <c:v>12.035</c:v>
                </c:pt>
                <c:pt idx="107">
                  <c:v>12.146000000000001</c:v>
                </c:pt>
                <c:pt idx="108">
                  <c:v>12.257</c:v>
                </c:pt>
                <c:pt idx="109">
                  <c:v>12.37</c:v>
                </c:pt>
                <c:pt idx="110">
                  <c:v>12.481999999999999</c:v>
                </c:pt>
                <c:pt idx="111">
                  <c:v>12.597</c:v>
                </c:pt>
                <c:pt idx="112">
                  <c:v>12.711</c:v>
                </c:pt>
                <c:pt idx="113">
                  <c:v>12.824</c:v>
                </c:pt>
                <c:pt idx="114">
                  <c:v>12.938000000000001</c:v>
                </c:pt>
                <c:pt idx="115">
                  <c:v>13.053000000000001</c:v>
                </c:pt>
                <c:pt idx="116">
                  <c:v>13.169</c:v>
                </c:pt>
                <c:pt idx="117">
                  <c:v>13.282999999999999</c:v>
                </c:pt>
                <c:pt idx="118">
                  <c:v>13.396000000000001</c:v>
                </c:pt>
                <c:pt idx="119">
                  <c:v>13.510999999999999</c:v>
                </c:pt>
                <c:pt idx="120">
                  <c:v>13.625</c:v>
                </c:pt>
                <c:pt idx="121">
                  <c:v>13.74</c:v>
                </c:pt>
                <c:pt idx="122">
                  <c:v>13.856</c:v>
                </c:pt>
                <c:pt idx="123">
                  <c:v>13.972</c:v>
                </c:pt>
                <c:pt idx="124">
                  <c:v>14.087999999999999</c:v>
                </c:pt>
                <c:pt idx="125">
                  <c:v>14.202999999999999</c:v>
                </c:pt>
                <c:pt idx="126">
                  <c:v>14.319000000000001</c:v>
                </c:pt>
                <c:pt idx="127">
                  <c:v>14.435</c:v>
                </c:pt>
                <c:pt idx="128">
                  <c:v>14.55</c:v>
                </c:pt>
                <c:pt idx="129">
                  <c:v>14.666</c:v>
                </c:pt>
                <c:pt idx="130">
                  <c:v>14.78</c:v>
                </c:pt>
                <c:pt idx="131">
                  <c:v>14.896000000000001</c:v>
                </c:pt>
                <c:pt idx="132">
                  <c:v>15.010999999999999</c:v>
                </c:pt>
                <c:pt idx="133">
                  <c:v>15.125</c:v>
                </c:pt>
                <c:pt idx="134">
                  <c:v>15.241</c:v>
                </c:pt>
                <c:pt idx="135">
                  <c:v>15.355</c:v>
                </c:pt>
                <c:pt idx="136">
                  <c:v>15.468999999999999</c:v>
                </c:pt>
                <c:pt idx="137">
                  <c:v>15.583</c:v>
                </c:pt>
                <c:pt idx="138">
                  <c:v>15.698</c:v>
                </c:pt>
                <c:pt idx="139">
                  <c:v>15.813000000000001</c:v>
                </c:pt>
                <c:pt idx="140">
                  <c:v>15.927</c:v>
                </c:pt>
                <c:pt idx="141">
                  <c:v>16.041</c:v>
                </c:pt>
                <c:pt idx="142">
                  <c:v>16.154</c:v>
                </c:pt>
                <c:pt idx="143">
                  <c:v>16.266999999999999</c:v>
                </c:pt>
                <c:pt idx="144">
                  <c:v>16.379000000000001</c:v>
                </c:pt>
                <c:pt idx="145">
                  <c:v>16.491</c:v>
                </c:pt>
                <c:pt idx="146">
                  <c:v>16.602</c:v>
                </c:pt>
                <c:pt idx="147">
                  <c:v>16.715</c:v>
                </c:pt>
                <c:pt idx="148">
                  <c:v>16.827000000000002</c:v>
                </c:pt>
                <c:pt idx="149">
                  <c:v>16.940000000000001</c:v>
                </c:pt>
                <c:pt idx="150">
                  <c:v>17.052</c:v>
                </c:pt>
                <c:pt idx="151">
                  <c:v>17.164000000000001</c:v>
                </c:pt>
                <c:pt idx="152">
                  <c:v>17.276</c:v>
                </c:pt>
                <c:pt idx="153">
                  <c:v>17.388999999999999</c:v>
                </c:pt>
                <c:pt idx="154">
                  <c:v>17.503</c:v>
                </c:pt>
                <c:pt idx="155">
                  <c:v>17.617000000000001</c:v>
                </c:pt>
                <c:pt idx="156">
                  <c:v>17.73</c:v>
                </c:pt>
                <c:pt idx="157">
                  <c:v>17.844999999999999</c:v>
                </c:pt>
                <c:pt idx="158">
                  <c:v>17.96</c:v>
                </c:pt>
                <c:pt idx="159">
                  <c:v>18.074999999999999</c:v>
                </c:pt>
                <c:pt idx="160">
                  <c:v>18.190999999999999</c:v>
                </c:pt>
                <c:pt idx="161">
                  <c:v>18.303000000000001</c:v>
                </c:pt>
                <c:pt idx="162">
                  <c:v>18.417999999999999</c:v>
                </c:pt>
                <c:pt idx="163">
                  <c:v>18.532</c:v>
                </c:pt>
                <c:pt idx="164">
                  <c:v>18.648</c:v>
                </c:pt>
                <c:pt idx="165">
                  <c:v>18.765000000000001</c:v>
                </c:pt>
                <c:pt idx="166">
                  <c:v>18.88</c:v>
                </c:pt>
                <c:pt idx="167">
                  <c:v>18.995999999999999</c:v>
                </c:pt>
                <c:pt idx="168">
                  <c:v>19.111999999999998</c:v>
                </c:pt>
                <c:pt idx="169">
                  <c:v>19.227</c:v>
                </c:pt>
                <c:pt idx="170">
                  <c:v>19.343</c:v>
                </c:pt>
                <c:pt idx="171">
                  <c:v>19.457999999999998</c:v>
                </c:pt>
                <c:pt idx="172">
                  <c:v>19.574000000000002</c:v>
                </c:pt>
                <c:pt idx="173">
                  <c:v>19.689</c:v>
                </c:pt>
                <c:pt idx="174">
                  <c:v>19.803999999999998</c:v>
                </c:pt>
                <c:pt idx="175">
                  <c:v>19.919</c:v>
                </c:pt>
                <c:pt idx="176">
                  <c:v>20.033000000000001</c:v>
                </c:pt>
                <c:pt idx="177">
                  <c:v>20.149000000000001</c:v>
                </c:pt>
                <c:pt idx="178">
                  <c:v>20.265000000000001</c:v>
                </c:pt>
                <c:pt idx="179">
                  <c:v>20.378</c:v>
                </c:pt>
                <c:pt idx="180">
                  <c:v>20.492999999999999</c:v>
                </c:pt>
                <c:pt idx="181">
                  <c:v>20.606999999999999</c:v>
                </c:pt>
                <c:pt idx="182">
                  <c:v>20.722000000000001</c:v>
                </c:pt>
                <c:pt idx="183">
                  <c:v>20.837</c:v>
                </c:pt>
                <c:pt idx="184">
                  <c:v>20.95</c:v>
                </c:pt>
                <c:pt idx="185">
                  <c:v>21.064</c:v>
                </c:pt>
                <c:pt idx="186">
                  <c:v>21.175999999999998</c:v>
                </c:pt>
                <c:pt idx="187">
                  <c:v>21.289000000000001</c:v>
                </c:pt>
                <c:pt idx="188">
                  <c:v>21.4</c:v>
                </c:pt>
                <c:pt idx="189">
                  <c:v>21.513000000000002</c:v>
                </c:pt>
                <c:pt idx="190">
                  <c:v>21.625</c:v>
                </c:pt>
                <c:pt idx="191">
                  <c:v>21.738</c:v>
                </c:pt>
                <c:pt idx="192">
                  <c:v>21.85</c:v>
                </c:pt>
                <c:pt idx="193">
                  <c:v>21.963000000000001</c:v>
                </c:pt>
                <c:pt idx="194">
                  <c:v>22.074999999999999</c:v>
                </c:pt>
                <c:pt idx="195">
                  <c:v>22.189</c:v>
                </c:pt>
                <c:pt idx="196">
                  <c:v>22.300999999999998</c:v>
                </c:pt>
                <c:pt idx="197">
                  <c:v>22.414999999999999</c:v>
                </c:pt>
                <c:pt idx="198">
                  <c:v>22.529</c:v>
                </c:pt>
                <c:pt idx="199">
                  <c:v>22.643000000000001</c:v>
                </c:pt>
                <c:pt idx="200">
                  <c:v>22.757999999999999</c:v>
                </c:pt>
                <c:pt idx="201">
                  <c:v>22.872</c:v>
                </c:pt>
                <c:pt idx="202">
                  <c:v>22.988</c:v>
                </c:pt>
                <c:pt idx="203">
                  <c:v>23.103000000000002</c:v>
                </c:pt>
                <c:pt idx="204">
                  <c:v>23.219000000000001</c:v>
                </c:pt>
                <c:pt idx="205">
                  <c:v>23.332000000000001</c:v>
                </c:pt>
                <c:pt idx="206">
                  <c:v>23.446000000000002</c:v>
                </c:pt>
                <c:pt idx="207">
                  <c:v>23.561</c:v>
                </c:pt>
                <c:pt idx="208">
                  <c:v>23.675999999999998</c:v>
                </c:pt>
                <c:pt idx="209">
                  <c:v>23.792999999999999</c:v>
                </c:pt>
                <c:pt idx="210">
                  <c:v>23.908000000000001</c:v>
                </c:pt>
                <c:pt idx="211">
                  <c:v>24.023</c:v>
                </c:pt>
                <c:pt idx="212">
                  <c:v>24.138999999999999</c:v>
                </c:pt>
                <c:pt idx="213">
                  <c:v>24.254000000000001</c:v>
                </c:pt>
                <c:pt idx="214">
                  <c:v>24.37</c:v>
                </c:pt>
                <c:pt idx="215">
                  <c:v>24.486000000000001</c:v>
                </c:pt>
                <c:pt idx="216">
                  <c:v>24.600999999999999</c:v>
                </c:pt>
                <c:pt idx="217">
                  <c:v>24.716999999999999</c:v>
                </c:pt>
                <c:pt idx="218">
                  <c:v>24.832999999999998</c:v>
                </c:pt>
                <c:pt idx="219">
                  <c:v>24.946999999999999</c:v>
                </c:pt>
                <c:pt idx="220">
                  <c:v>25.062000000000001</c:v>
                </c:pt>
                <c:pt idx="221">
                  <c:v>25.175999999999998</c:v>
                </c:pt>
                <c:pt idx="222">
                  <c:v>25.292000000000002</c:v>
                </c:pt>
                <c:pt idx="223">
                  <c:v>25.405999999999999</c:v>
                </c:pt>
                <c:pt idx="224">
                  <c:v>25.518999999999998</c:v>
                </c:pt>
                <c:pt idx="225">
                  <c:v>25.634</c:v>
                </c:pt>
                <c:pt idx="226">
                  <c:v>25.748000000000001</c:v>
                </c:pt>
                <c:pt idx="227">
                  <c:v>25.863</c:v>
                </c:pt>
                <c:pt idx="228">
                  <c:v>25.975999999999999</c:v>
                </c:pt>
                <c:pt idx="229">
                  <c:v>26.09</c:v>
                </c:pt>
                <c:pt idx="230">
                  <c:v>26.202000000000002</c:v>
                </c:pt>
                <c:pt idx="231">
                  <c:v>26.314</c:v>
                </c:pt>
                <c:pt idx="232">
                  <c:v>26.425000000000001</c:v>
                </c:pt>
                <c:pt idx="233">
                  <c:v>26.539000000000001</c:v>
                </c:pt>
                <c:pt idx="234">
                  <c:v>26.652000000000001</c:v>
                </c:pt>
                <c:pt idx="235">
                  <c:v>26.766999999999999</c:v>
                </c:pt>
                <c:pt idx="236">
                  <c:v>26.882000000000001</c:v>
                </c:pt>
                <c:pt idx="237">
                  <c:v>26.997</c:v>
                </c:pt>
                <c:pt idx="238">
                  <c:v>27.113</c:v>
                </c:pt>
                <c:pt idx="239">
                  <c:v>27.228000000000002</c:v>
                </c:pt>
                <c:pt idx="240">
                  <c:v>27.344000000000001</c:v>
                </c:pt>
                <c:pt idx="241">
                  <c:v>27.459</c:v>
                </c:pt>
                <c:pt idx="242">
                  <c:v>27.571999999999999</c:v>
                </c:pt>
                <c:pt idx="243">
                  <c:v>27.687000000000001</c:v>
                </c:pt>
                <c:pt idx="244">
                  <c:v>27.800999999999998</c:v>
                </c:pt>
                <c:pt idx="245">
                  <c:v>27.916</c:v>
                </c:pt>
                <c:pt idx="246">
                  <c:v>28.030999999999999</c:v>
                </c:pt>
                <c:pt idx="247">
                  <c:v>28.143999999999998</c:v>
                </c:pt>
                <c:pt idx="248">
                  <c:v>28.257999999999999</c:v>
                </c:pt>
                <c:pt idx="249">
                  <c:v>28.370999999999999</c:v>
                </c:pt>
                <c:pt idx="250">
                  <c:v>28.486000000000001</c:v>
                </c:pt>
                <c:pt idx="251">
                  <c:v>28.6</c:v>
                </c:pt>
                <c:pt idx="252">
                  <c:v>28.713999999999999</c:v>
                </c:pt>
                <c:pt idx="253">
                  <c:v>28.827000000000002</c:v>
                </c:pt>
                <c:pt idx="254">
                  <c:v>28.940999999999999</c:v>
                </c:pt>
                <c:pt idx="255">
                  <c:v>29.056000000000001</c:v>
                </c:pt>
                <c:pt idx="256">
                  <c:v>29.169</c:v>
                </c:pt>
                <c:pt idx="257">
                  <c:v>29.283000000000001</c:v>
                </c:pt>
                <c:pt idx="258">
                  <c:v>29.396000000000001</c:v>
                </c:pt>
                <c:pt idx="259">
                  <c:v>29.51</c:v>
                </c:pt>
                <c:pt idx="260">
                  <c:v>29.623999999999999</c:v>
                </c:pt>
                <c:pt idx="261">
                  <c:v>29.738</c:v>
                </c:pt>
                <c:pt idx="262">
                  <c:v>29.850999999999999</c:v>
                </c:pt>
                <c:pt idx="263">
                  <c:v>29.965</c:v>
                </c:pt>
                <c:pt idx="264">
                  <c:v>30.079000000000001</c:v>
                </c:pt>
                <c:pt idx="265">
                  <c:v>30.193000000000001</c:v>
                </c:pt>
                <c:pt idx="266">
                  <c:v>30.306999999999999</c:v>
                </c:pt>
                <c:pt idx="267">
                  <c:v>30.42</c:v>
                </c:pt>
                <c:pt idx="268">
                  <c:v>30.533999999999999</c:v>
                </c:pt>
                <c:pt idx="269">
                  <c:v>30.646999999999998</c:v>
                </c:pt>
                <c:pt idx="270">
                  <c:v>30.762</c:v>
                </c:pt>
                <c:pt idx="271">
                  <c:v>30.875</c:v>
                </c:pt>
                <c:pt idx="272">
                  <c:v>30.989000000000001</c:v>
                </c:pt>
                <c:pt idx="273">
                  <c:v>31.103000000000002</c:v>
                </c:pt>
                <c:pt idx="274">
                  <c:v>31.216999999999999</c:v>
                </c:pt>
                <c:pt idx="275">
                  <c:v>31.332000000000001</c:v>
                </c:pt>
                <c:pt idx="276">
                  <c:v>31.446000000000002</c:v>
                </c:pt>
                <c:pt idx="277">
                  <c:v>31.561</c:v>
                </c:pt>
                <c:pt idx="278">
                  <c:v>31.673999999999999</c:v>
                </c:pt>
                <c:pt idx="279">
                  <c:v>31.786999999999999</c:v>
                </c:pt>
                <c:pt idx="280">
                  <c:v>31.9</c:v>
                </c:pt>
                <c:pt idx="281">
                  <c:v>32.014000000000003</c:v>
                </c:pt>
                <c:pt idx="282">
                  <c:v>32.127000000000002</c:v>
                </c:pt>
                <c:pt idx="283">
                  <c:v>32.24</c:v>
                </c:pt>
                <c:pt idx="284">
                  <c:v>32.353999999999999</c:v>
                </c:pt>
                <c:pt idx="285">
                  <c:v>32.468000000000004</c:v>
                </c:pt>
                <c:pt idx="286">
                  <c:v>32.582000000000001</c:v>
                </c:pt>
                <c:pt idx="287">
                  <c:v>32.695</c:v>
                </c:pt>
                <c:pt idx="288">
                  <c:v>32.808999999999997</c:v>
                </c:pt>
                <c:pt idx="289">
                  <c:v>32.920999999999999</c:v>
                </c:pt>
                <c:pt idx="290">
                  <c:v>33.033999999999999</c:v>
                </c:pt>
                <c:pt idx="291">
                  <c:v>33.148000000000003</c:v>
                </c:pt>
                <c:pt idx="292">
                  <c:v>33.262999999999998</c:v>
                </c:pt>
                <c:pt idx="293">
                  <c:v>33.377000000000002</c:v>
                </c:pt>
                <c:pt idx="294">
                  <c:v>33.491</c:v>
                </c:pt>
                <c:pt idx="295">
                  <c:v>33.603999999999999</c:v>
                </c:pt>
                <c:pt idx="296">
                  <c:v>33.719000000000001</c:v>
                </c:pt>
                <c:pt idx="297">
                  <c:v>33.832999999999998</c:v>
                </c:pt>
                <c:pt idx="298">
                  <c:v>33.947000000000003</c:v>
                </c:pt>
                <c:pt idx="299">
                  <c:v>34.061999999999998</c:v>
                </c:pt>
                <c:pt idx="300">
                  <c:v>34.176000000000002</c:v>
                </c:pt>
                <c:pt idx="301">
                  <c:v>34.290999999999997</c:v>
                </c:pt>
                <c:pt idx="302">
                  <c:v>34.405999999999999</c:v>
                </c:pt>
                <c:pt idx="303">
                  <c:v>34.520000000000003</c:v>
                </c:pt>
                <c:pt idx="304">
                  <c:v>34.634999999999998</c:v>
                </c:pt>
                <c:pt idx="305">
                  <c:v>34.747999999999998</c:v>
                </c:pt>
                <c:pt idx="306">
                  <c:v>34.862000000000002</c:v>
                </c:pt>
                <c:pt idx="307">
                  <c:v>34.973999999999997</c:v>
                </c:pt>
                <c:pt idx="308">
                  <c:v>35.087000000000003</c:v>
                </c:pt>
                <c:pt idx="309">
                  <c:v>35.198999999999998</c:v>
                </c:pt>
                <c:pt idx="310">
                  <c:v>35.31</c:v>
                </c:pt>
                <c:pt idx="311">
                  <c:v>35.421999999999997</c:v>
                </c:pt>
                <c:pt idx="312">
                  <c:v>35.534999999999997</c:v>
                </c:pt>
                <c:pt idx="313">
                  <c:v>35.646999999999998</c:v>
                </c:pt>
                <c:pt idx="314">
                  <c:v>35.758000000000003</c:v>
                </c:pt>
              </c:numCache>
            </c:numRef>
          </c:xVal>
          <c:yVal>
            <c:numRef>
              <c:f>'data_Lab6_2025-09-29_132005'!$Y$2:$Y$316</c:f>
              <c:numCache>
                <c:formatCode>General</c:formatCode>
                <c:ptCount val="315"/>
                <c:pt idx="0">
                  <c:v>185.97525541017922</c:v>
                </c:pt>
                <c:pt idx="1">
                  <c:v>185.96125541017932</c:v>
                </c:pt>
                <c:pt idx="2">
                  <c:v>186.08830541017926</c:v>
                </c:pt>
                <c:pt idx="3">
                  <c:v>186.1538454101792</c:v>
                </c:pt>
                <c:pt idx="4">
                  <c:v>186.14700541017919</c:v>
                </c:pt>
                <c:pt idx="5">
                  <c:v>186.11004541017928</c:v>
                </c:pt>
                <c:pt idx="6">
                  <c:v>186.09761541017929</c:v>
                </c:pt>
                <c:pt idx="7">
                  <c:v>186.36641541017923</c:v>
                </c:pt>
                <c:pt idx="8">
                  <c:v>186.1988354101793</c:v>
                </c:pt>
                <c:pt idx="9">
                  <c:v>185.95915541017928</c:v>
                </c:pt>
                <c:pt idx="10">
                  <c:v>186.03373541017925</c:v>
                </c:pt>
                <c:pt idx="11">
                  <c:v>186.02130541017925</c:v>
                </c:pt>
                <c:pt idx="12">
                  <c:v>185.91508541017924</c:v>
                </c:pt>
                <c:pt idx="13">
                  <c:v>186.1659654101793</c:v>
                </c:pt>
                <c:pt idx="14">
                  <c:v>186.25032541017924</c:v>
                </c:pt>
                <c:pt idx="15">
                  <c:v>186.15766541017933</c:v>
                </c:pt>
                <c:pt idx="16">
                  <c:v>186.21077541017928</c:v>
                </c:pt>
                <c:pt idx="17">
                  <c:v>186.30004541017934</c:v>
                </c:pt>
                <c:pt idx="18">
                  <c:v>186.2795254101793</c:v>
                </c:pt>
                <c:pt idx="19">
                  <c:v>186.15632541017931</c:v>
                </c:pt>
                <c:pt idx="20">
                  <c:v>186.1811854101793</c:v>
                </c:pt>
                <c:pt idx="21">
                  <c:v>186.34955541017928</c:v>
                </c:pt>
                <c:pt idx="22">
                  <c:v>186.59237541017933</c:v>
                </c:pt>
                <c:pt idx="23">
                  <c:v>186.82812541017927</c:v>
                </c:pt>
                <c:pt idx="24">
                  <c:v>186.7152654101792</c:v>
                </c:pt>
                <c:pt idx="25">
                  <c:v>186.50778541017928</c:v>
                </c:pt>
                <c:pt idx="26">
                  <c:v>186.6241754101793</c:v>
                </c:pt>
                <c:pt idx="27">
                  <c:v>186.57012541017923</c:v>
                </c:pt>
                <c:pt idx="28">
                  <c:v>186.85601541017923</c:v>
                </c:pt>
                <c:pt idx="29">
                  <c:v>186.93421541017926</c:v>
                </c:pt>
                <c:pt idx="30">
                  <c:v>186.91696541017927</c:v>
                </c:pt>
                <c:pt idx="31">
                  <c:v>187.03666541017924</c:v>
                </c:pt>
                <c:pt idx="32">
                  <c:v>187.3395054101793</c:v>
                </c:pt>
                <c:pt idx="33">
                  <c:v>187.45910541017929</c:v>
                </c:pt>
                <c:pt idx="34">
                  <c:v>187.42575541017925</c:v>
                </c:pt>
                <c:pt idx="35">
                  <c:v>187.44044541017922</c:v>
                </c:pt>
                <c:pt idx="36">
                  <c:v>187.45424541017928</c:v>
                </c:pt>
                <c:pt idx="37">
                  <c:v>187.31288541017921</c:v>
                </c:pt>
                <c:pt idx="38">
                  <c:v>187.31402541017928</c:v>
                </c:pt>
                <c:pt idx="39">
                  <c:v>187.29350541017925</c:v>
                </c:pt>
                <c:pt idx="40">
                  <c:v>187.22510541017925</c:v>
                </c:pt>
                <c:pt idx="41">
                  <c:v>187.35844541017923</c:v>
                </c:pt>
                <c:pt idx="42">
                  <c:v>188.04729541017923</c:v>
                </c:pt>
                <c:pt idx="43">
                  <c:v>188.65449541017927</c:v>
                </c:pt>
                <c:pt idx="44">
                  <c:v>188.9121354101793</c:v>
                </c:pt>
                <c:pt idx="45">
                  <c:v>189.08118541017927</c:v>
                </c:pt>
                <c:pt idx="46">
                  <c:v>189.16782541017926</c:v>
                </c:pt>
                <c:pt idx="47">
                  <c:v>189.69222541017928</c:v>
                </c:pt>
                <c:pt idx="48">
                  <c:v>190.51792541017926</c:v>
                </c:pt>
                <c:pt idx="49">
                  <c:v>191.36266541017926</c:v>
                </c:pt>
                <c:pt idx="50">
                  <c:v>192.08371541017925</c:v>
                </c:pt>
                <c:pt idx="51">
                  <c:v>191.99023541017925</c:v>
                </c:pt>
                <c:pt idx="52">
                  <c:v>190.79437541017933</c:v>
                </c:pt>
                <c:pt idx="53">
                  <c:v>188.96353541017925</c:v>
                </c:pt>
                <c:pt idx="54">
                  <c:v>184.79593541017925</c:v>
                </c:pt>
                <c:pt idx="55">
                  <c:v>178.92173541017928</c:v>
                </c:pt>
                <c:pt idx="56">
                  <c:v>170.57009541017931</c:v>
                </c:pt>
                <c:pt idx="57">
                  <c:v>161.93687541017925</c:v>
                </c:pt>
                <c:pt idx="58">
                  <c:v>153.52791541017928</c:v>
                </c:pt>
                <c:pt idx="59">
                  <c:v>144.83934541017925</c:v>
                </c:pt>
                <c:pt idx="60">
                  <c:v>136.36227541017928</c:v>
                </c:pt>
                <c:pt idx="61">
                  <c:v>127.6710754101793</c:v>
                </c:pt>
                <c:pt idx="62">
                  <c:v>118.88317541017932</c:v>
                </c:pt>
                <c:pt idx="63">
                  <c:v>110.17765541017928</c:v>
                </c:pt>
                <c:pt idx="64">
                  <c:v>101.44972541017927</c:v>
                </c:pt>
                <c:pt idx="65">
                  <c:v>93.033705410179266</c:v>
                </c:pt>
                <c:pt idx="66">
                  <c:v>84.372745410179277</c:v>
                </c:pt>
                <c:pt idx="67">
                  <c:v>75.655915410179261</c:v>
                </c:pt>
                <c:pt idx="68">
                  <c:v>67.168485410179301</c:v>
                </c:pt>
                <c:pt idx="69">
                  <c:v>58.111185410179246</c:v>
                </c:pt>
                <c:pt idx="70">
                  <c:v>49.371945410179251</c:v>
                </c:pt>
                <c:pt idx="71">
                  <c:v>40.677165410179271</c:v>
                </c:pt>
                <c:pt idx="72">
                  <c:v>31.865425410179284</c:v>
                </c:pt>
                <c:pt idx="73">
                  <c:v>22.951775410179266</c:v>
                </c:pt>
                <c:pt idx="74">
                  <c:v>14.014175410179291</c:v>
                </c:pt>
                <c:pt idx="75">
                  <c:v>5.2431254101792888</c:v>
                </c:pt>
                <c:pt idx="76">
                  <c:v>356.75800541017929</c:v>
                </c:pt>
                <c:pt idx="77">
                  <c:v>347.65575541017927</c:v>
                </c:pt>
                <c:pt idx="78">
                  <c:v>338.70300541017923</c:v>
                </c:pt>
                <c:pt idx="79">
                  <c:v>329.91930541017928</c:v>
                </c:pt>
                <c:pt idx="80">
                  <c:v>321.06357541017928</c:v>
                </c:pt>
                <c:pt idx="81">
                  <c:v>311.96132541017926</c:v>
                </c:pt>
                <c:pt idx="82">
                  <c:v>303.06064541017929</c:v>
                </c:pt>
                <c:pt idx="83">
                  <c:v>294.15996541017921</c:v>
                </c:pt>
                <c:pt idx="84">
                  <c:v>285.49931541017929</c:v>
                </c:pt>
                <c:pt idx="85">
                  <c:v>276.51511541017931</c:v>
                </c:pt>
                <c:pt idx="86">
                  <c:v>267.63995541017925</c:v>
                </c:pt>
                <c:pt idx="87">
                  <c:v>258.73550541017926</c:v>
                </c:pt>
                <c:pt idx="88">
                  <c:v>250.11206541017918</c:v>
                </c:pt>
                <c:pt idx="89">
                  <c:v>241.04661541017924</c:v>
                </c:pt>
                <c:pt idx="90">
                  <c:v>232.07201541017923</c:v>
                </c:pt>
                <c:pt idx="91">
                  <c:v>222.9834154101793</c:v>
                </c:pt>
                <c:pt idx="92">
                  <c:v>214.21453541017922</c:v>
                </c:pt>
                <c:pt idx="93">
                  <c:v>205.51363541017929</c:v>
                </c:pt>
                <c:pt idx="94">
                  <c:v>196.71853541017924</c:v>
                </c:pt>
                <c:pt idx="95">
                  <c:v>188.21543541017923</c:v>
                </c:pt>
                <c:pt idx="96">
                  <c:v>179.42368541017925</c:v>
                </c:pt>
                <c:pt idx="97">
                  <c:v>170.4564454101793</c:v>
                </c:pt>
                <c:pt idx="98">
                  <c:v>161.82339541017927</c:v>
                </c:pt>
                <c:pt idx="99">
                  <c:v>153.39539541017928</c:v>
                </c:pt>
                <c:pt idx="100">
                  <c:v>144.75089541017928</c:v>
                </c:pt>
                <c:pt idx="101">
                  <c:v>136.2632954101793</c:v>
                </c:pt>
                <c:pt idx="102">
                  <c:v>127.81849541017931</c:v>
                </c:pt>
                <c:pt idx="103">
                  <c:v>119.42689541017933</c:v>
                </c:pt>
                <c:pt idx="104">
                  <c:v>110.78917541017927</c:v>
                </c:pt>
                <c:pt idx="105">
                  <c:v>102.25477541017932</c:v>
                </c:pt>
                <c:pt idx="106">
                  <c:v>94.101825410179345</c:v>
                </c:pt>
                <c:pt idx="107">
                  <c:v>85.692465410179352</c:v>
                </c:pt>
                <c:pt idx="108">
                  <c:v>77.333055410179327</c:v>
                </c:pt>
                <c:pt idx="109">
                  <c:v>68.849015410179334</c:v>
                </c:pt>
                <c:pt idx="110">
                  <c:v>60.153335410179352</c:v>
                </c:pt>
                <c:pt idx="111">
                  <c:v>51.415635410179334</c:v>
                </c:pt>
                <c:pt idx="112">
                  <c:v>42.449535410179351</c:v>
                </c:pt>
                <c:pt idx="113">
                  <c:v>33.990355410179347</c:v>
                </c:pt>
                <c:pt idx="114">
                  <c:v>25.532695410179372</c:v>
                </c:pt>
                <c:pt idx="115">
                  <c:v>16.883545410179352</c:v>
                </c:pt>
                <c:pt idx="116">
                  <c:v>8.1893454101793282</c:v>
                </c:pt>
                <c:pt idx="117">
                  <c:v>359.77386541017927</c:v>
                </c:pt>
                <c:pt idx="118">
                  <c:v>351.41977541017934</c:v>
                </c:pt>
                <c:pt idx="119">
                  <c:v>342.83157541017931</c:v>
                </c:pt>
                <c:pt idx="120">
                  <c:v>334.70793541017929</c:v>
                </c:pt>
                <c:pt idx="121">
                  <c:v>326.10133541017922</c:v>
                </c:pt>
                <c:pt idx="122">
                  <c:v>317.35493541017922</c:v>
                </c:pt>
                <c:pt idx="123">
                  <c:v>308.96813541017923</c:v>
                </c:pt>
                <c:pt idx="124">
                  <c:v>300.42705541017926</c:v>
                </c:pt>
                <c:pt idx="125">
                  <c:v>291.93775541017931</c:v>
                </c:pt>
                <c:pt idx="126">
                  <c:v>283.29575541017925</c:v>
                </c:pt>
                <c:pt idx="127">
                  <c:v>274.47395541017931</c:v>
                </c:pt>
                <c:pt idx="128">
                  <c:v>265.83400541017932</c:v>
                </c:pt>
                <c:pt idx="129">
                  <c:v>257.28132541017931</c:v>
                </c:pt>
                <c:pt idx="130">
                  <c:v>248.84646541017923</c:v>
                </c:pt>
                <c:pt idx="131">
                  <c:v>240.23346541017918</c:v>
                </c:pt>
                <c:pt idx="132">
                  <c:v>231.37616541017928</c:v>
                </c:pt>
                <c:pt idx="133">
                  <c:v>222.83984541017924</c:v>
                </c:pt>
                <c:pt idx="134">
                  <c:v>214.23960541017925</c:v>
                </c:pt>
                <c:pt idx="135">
                  <c:v>205.53570541017928</c:v>
                </c:pt>
                <c:pt idx="136">
                  <c:v>197.00508541017928</c:v>
                </c:pt>
                <c:pt idx="137">
                  <c:v>188.6785254101793</c:v>
                </c:pt>
                <c:pt idx="138">
                  <c:v>180.10757541017927</c:v>
                </c:pt>
                <c:pt idx="139">
                  <c:v>171.55387541017922</c:v>
                </c:pt>
                <c:pt idx="140">
                  <c:v>163.24441541017927</c:v>
                </c:pt>
                <c:pt idx="141">
                  <c:v>154.64425541017931</c:v>
                </c:pt>
                <c:pt idx="142">
                  <c:v>146.26191541017931</c:v>
                </c:pt>
                <c:pt idx="143">
                  <c:v>138.04455541017933</c:v>
                </c:pt>
                <c:pt idx="144">
                  <c:v>129.60311541017927</c:v>
                </c:pt>
                <c:pt idx="145">
                  <c:v>121.42935541017926</c:v>
                </c:pt>
                <c:pt idx="146">
                  <c:v>113.1454254101792</c:v>
                </c:pt>
                <c:pt idx="147">
                  <c:v>104.82184541017921</c:v>
                </c:pt>
                <c:pt idx="148">
                  <c:v>96.411765410179214</c:v>
                </c:pt>
                <c:pt idx="149">
                  <c:v>87.770655410179188</c:v>
                </c:pt>
                <c:pt idx="150">
                  <c:v>79.639455410179153</c:v>
                </c:pt>
                <c:pt idx="151">
                  <c:v>71.424255410179171</c:v>
                </c:pt>
                <c:pt idx="152">
                  <c:v>63.070175410179218</c:v>
                </c:pt>
                <c:pt idx="153">
                  <c:v>54.429065410179192</c:v>
                </c:pt>
                <c:pt idx="154">
                  <c:v>45.938345410179181</c:v>
                </c:pt>
                <c:pt idx="155">
                  <c:v>37.715525410179225</c:v>
                </c:pt>
                <c:pt idx="156">
                  <c:v>29.287985410179203</c:v>
                </c:pt>
                <c:pt idx="157">
                  <c:v>20.832035410179174</c:v>
                </c:pt>
                <c:pt idx="158">
                  <c:v>12.287535410179203</c:v>
                </c:pt>
                <c:pt idx="159">
                  <c:v>3.6797854101791927</c:v>
                </c:pt>
                <c:pt idx="160">
                  <c:v>355.1421854101792</c:v>
                </c:pt>
                <c:pt idx="161">
                  <c:v>346.80938541017917</c:v>
                </c:pt>
                <c:pt idx="162">
                  <c:v>338.75133541017919</c:v>
                </c:pt>
                <c:pt idx="163">
                  <c:v>330.57069541017916</c:v>
                </c:pt>
                <c:pt idx="164">
                  <c:v>321.89273541017917</c:v>
                </c:pt>
                <c:pt idx="165">
                  <c:v>313.13645541017922</c:v>
                </c:pt>
                <c:pt idx="166">
                  <c:v>304.67130541017923</c:v>
                </c:pt>
                <c:pt idx="167">
                  <c:v>295.8796654101792</c:v>
                </c:pt>
                <c:pt idx="168">
                  <c:v>287.4731454101792</c:v>
                </c:pt>
                <c:pt idx="169">
                  <c:v>279.27364541017914</c:v>
                </c:pt>
                <c:pt idx="170">
                  <c:v>270.71052541017912</c:v>
                </c:pt>
                <c:pt idx="171">
                  <c:v>262.30517541017912</c:v>
                </c:pt>
                <c:pt idx="172">
                  <c:v>253.53673541017906</c:v>
                </c:pt>
                <c:pt idx="173">
                  <c:v>244.83583541017902</c:v>
                </c:pt>
                <c:pt idx="174">
                  <c:v>236.51558541017903</c:v>
                </c:pt>
                <c:pt idx="175">
                  <c:v>228.51158541017901</c:v>
                </c:pt>
                <c:pt idx="176">
                  <c:v>220.34462541017899</c:v>
                </c:pt>
                <c:pt idx="177">
                  <c:v>211.80354541017903</c:v>
                </c:pt>
                <c:pt idx="178">
                  <c:v>203.44226541017906</c:v>
                </c:pt>
                <c:pt idx="179">
                  <c:v>195.02602541017905</c:v>
                </c:pt>
                <c:pt idx="180">
                  <c:v>186.5344254101791</c:v>
                </c:pt>
                <c:pt idx="181">
                  <c:v>178.12578541017911</c:v>
                </c:pt>
                <c:pt idx="182">
                  <c:v>169.46973541017906</c:v>
                </c:pt>
                <c:pt idx="183">
                  <c:v>161.04713541017907</c:v>
                </c:pt>
                <c:pt idx="184">
                  <c:v>153.06933541017906</c:v>
                </c:pt>
                <c:pt idx="185">
                  <c:v>144.82257541017907</c:v>
                </c:pt>
                <c:pt idx="186">
                  <c:v>136.63425541017909</c:v>
                </c:pt>
                <c:pt idx="187">
                  <c:v>128.14004541017914</c:v>
                </c:pt>
                <c:pt idx="188">
                  <c:v>119.9582354101791</c:v>
                </c:pt>
                <c:pt idx="189">
                  <c:v>111.7182754101791</c:v>
                </c:pt>
                <c:pt idx="190">
                  <c:v>103.82563541017907</c:v>
                </c:pt>
                <c:pt idx="191">
                  <c:v>95.796985410179104</c:v>
                </c:pt>
                <c:pt idx="192">
                  <c:v>87.480985410179073</c:v>
                </c:pt>
                <c:pt idx="193">
                  <c:v>79.195825410179054</c:v>
                </c:pt>
                <c:pt idx="194">
                  <c:v>70.839505410179072</c:v>
                </c:pt>
                <c:pt idx="195">
                  <c:v>62.634925410179108</c:v>
                </c:pt>
                <c:pt idx="196">
                  <c:v>54.532845410179107</c:v>
                </c:pt>
                <c:pt idx="197">
                  <c:v>46.149285410179118</c:v>
                </c:pt>
                <c:pt idx="198">
                  <c:v>37.889985410179179</c:v>
                </c:pt>
                <c:pt idx="199">
                  <c:v>29.841585410179277</c:v>
                </c:pt>
                <c:pt idx="200">
                  <c:v>21.745585410179274</c:v>
                </c:pt>
                <c:pt idx="201">
                  <c:v>13.444105410179191</c:v>
                </c:pt>
                <c:pt idx="202">
                  <c:v>5.0677454101792136</c:v>
                </c:pt>
                <c:pt idx="203">
                  <c:v>356.55199541017919</c:v>
                </c:pt>
                <c:pt idx="204">
                  <c:v>348.30439541017927</c:v>
                </c:pt>
                <c:pt idx="205">
                  <c:v>340.15144541017935</c:v>
                </c:pt>
                <c:pt idx="206">
                  <c:v>331.88758541017933</c:v>
                </c:pt>
                <c:pt idx="207">
                  <c:v>323.81688541017934</c:v>
                </c:pt>
                <c:pt idx="208">
                  <c:v>315.63463541017927</c:v>
                </c:pt>
                <c:pt idx="209">
                  <c:v>307.24339541017935</c:v>
                </c:pt>
                <c:pt idx="210">
                  <c:v>299.18304541017937</c:v>
                </c:pt>
                <c:pt idx="211">
                  <c:v>291.01574541017931</c:v>
                </c:pt>
                <c:pt idx="212">
                  <c:v>282.72638541017932</c:v>
                </c:pt>
                <c:pt idx="213">
                  <c:v>274.57173541017937</c:v>
                </c:pt>
                <c:pt idx="214">
                  <c:v>266.29049541017935</c:v>
                </c:pt>
                <c:pt idx="215">
                  <c:v>258.14381541017929</c:v>
                </c:pt>
                <c:pt idx="216">
                  <c:v>249.50271541017923</c:v>
                </c:pt>
                <c:pt idx="217">
                  <c:v>241.44651541017925</c:v>
                </c:pt>
                <c:pt idx="218">
                  <c:v>233.14555541017921</c:v>
                </c:pt>
                <c:pt idx="219">
                  <c:v>225.14275541017923</c:v>
                </c:pt>
                <c:pt idx="220">
                  <c:v>216.96050541017917</c:v>
                </c:pt>
                <c:pt idx="221">
                  <c:v>208.88930541017908</c:v>
                </c:pt>
                <c:pt idx="222">
                  <c:v>200.75538541017909</c:v>
                </c:pt>
                <c:pt idx="223">
                  <c:v>192.90420541017897</c:v>
                </c:pt>
                <c:pt idx="224">
                  <c:v>184.64503541017893</c:v>
                </c:pt>
                <c:pt idx="225">
                  <c:v>176.49728541017885</c:v>
                </c:pt>
                <c:pt idx="226">
                  <c:v>168.51956541017876</c:v>
                </c:pt>
                <c:pt idx="227">
                  <c:v>160.55466541017881</c:v>
                </c:pt>
                <c:pt idx="228">
                  <c:v>157.92967541017879</c:v>
                </c:pt>
                <c:pt idx="229">
                  <c:v>157.0302154101787</c:v>
                </c:pt>
                <c:pt idx="230">
                  <c:v>156.0591754101788</c:v>
                </c:pt>
                <c:pt idx="231">
                  <c:v>155.1866954101788</c:v>
                </c:pt>
                <c:pt idx="232">
                  <c:v>156.54533541017872</c:v>
                </c:pt>
                <c:pt idx="233">
                  <c:v>157.98971541017863</c:v>
                </c:pt>
                <c:pt idx="234">
                  <c:v>160.48814541017873</c:v>
                </c:pt>
                <c:pt idx="235">
                  <c:v>164.33489541017866</c:v>
                </c:pt>
                <c:pt idx="236">
                  <c:v>168.14024541017875</c:v>
                </c:pt>
                <c:pt idx="237">
                  <c:v>172.72759541017876</c:v>
                </c:pt>
                <c:pt idx="238">
                  <c:v>176.76323541017882</c:v>
                </c:pt>
                <c:pt idx="239">
                  <c:v>178.66763541017872</c:v>
                </c:pt>
                <c:pt idx="240">
                  <c:v>179.41003541017881</c:v>
                </c:pt>
                <c:pt idx="241">
                  <c:v>179.16393541017874</c:v>
                </c:pt>
                <c:pt idx="242">
                  <c:v>177.89042541017875</c:v>
                </c:pt>
                <c:pt idx="243">
                  <c:v>176.55297541017876</c:v>
                </c:pt>
                <c:pt idx="244">
                  <c:v>175.00599541017868</c:v>
                </c:pt>
                <c:pt idx="245">
                  <c:v>173.32354541017867</c:v>
                </c:pt>
                <c:pt idx="246">
                  <c:v>172.32074541017869</c:v>
                </c:pt>
                <c:pt idx="247">
                  <c:v>171.67777541017858</c:v>
                </c:pt>
                <c:pt idx="248">
                  <c:v>171.32323541017854</c:v>
                </c:pt>
                <c:pt idx="249">
                  <c:v>171.46335541017856</c:v>
                </c:pt>
                <c:pt idx="250">
                  <c:v>171.56110541017847</c:v>
                </c:pt>
                <c:pt idx="251">
                  <c:v>171.4847254101785</c:v>
                </c:pt>
                <c:pt idx="252">
                  <c:v>171.35590541017859</c:v>
                </c:pt>
                <c:pt idx="253">
                  <c:v>170.91407541017861</c:v>
                </c:pt>
                <c:pt idx="254">
                  <c:v>170.98361541017857</c:v>
                </c:pt>
                <c:pt idx="255">
                  <c:v>170.79616541017867</c:v>
                </c:pt>
                <c:pt idx="256">
                  <c:v>170.74192541017874</c:v>
                </c:pt>
                <c:pt idx="257">
                  <c:v>170.71000541017884</c:v>
                </c:pt>
                <c:pt idx="258">
                  <c:v>170.64898541017874</c:v>
                </c:pt>
                <c:pt idx="259">
                  <c:v>170.75386541017883</c:v>
                </c:pt>
                <c:pt idx="260">
                  <c:v>170.53954541017879</c:v>
                </c:pt>
                <c:pt idx="261">
                  <c:v>170.33890541017877</c:v>
                </c:pt>
                <c:pt idx="262">
                  <c:v>170.23494541017885</c:v>
                </c:pt>
                <c:pt idx="263">
                  <c:v>170.32728541017877</c:v>
                </c:pt>
                <c:pt idx="264">
                  <c:v>170.11980541017874</c:v>
                </c:pt>
                <c:pt idx="265">
                  <c:v>170.06964541017874</c:v>
                </c:pt>
                <c:pt idx="266">
                  <c:v>169.80288541017876</c:v>
                </c:pt>
                <c:pt idx="267">
                  <c:v>169.49665541017885</c:v>
                </c:pt>
                <c:pt idx="268">
                  <c:v>169.47613541017881</c:v>
                </c:pt>
                <c:pt idx="269">
                  <c:v>169.72134541017886</c:v>
                </c:pt>
                <c:pt idx="270">
                  <c:v>169.62359541017895</c:v>
                </c:pt>
                <c:pt idx="271">
                  <c:v>169.761455410179</c:v>
                </c:pt>
                <c:pt idx="272">
                  <c:v>169.98945541017906</c:v>
                </c:pt>
                <c:pt idx="273">
                  <c:v>169.76373541017915</c:v>
                </c:pt>
                <c:pt idx="274">
                  <c:v>169.77285541017909</c:v>
                </c:pt>
                <c:pt idx="275">
                  <c:v>170.07185541017907</c:v>
                </c:pt>
                <c:pt idx="276">
                  <c:v>170.09579541017911</c:v>
                </c:pt>
                <c:pt idx="277">
                  <c:v>169.66684541017912</c:v>
                </c:pt>
                <c:pt idx="278">
                  <c:v>169.58887541017907</c:v>
                </c:pt>
                <c:pt idx="279">
                  <c:v>169.48378541017905</c:v>
                </c:pt>
                <c:pt idx="280">
                  <c:v>169.29959541017911</c:v>
                </c:pt>
                <c:pt idx="281">
                  <c:v>169.29731541017918</c:v>
                </c:pt>
                <c:pt idx="282">
                  <c:v>168.86339541017924</c:v>
                </c:pt>
                <c:pt idx="283">
                  <c:v>168.90859541017926</c:v>
                </c:pt>
                <c:pt idx="284">
                  <c:v>168.47881541017932</c:v>
                </c:pt>
                <c:pt idx="285">
                  <c:v>168.08323541017921</c:v>
                </c:pt>
                <c:pt idx="286">
                  <c:v>167.94871541017915</c:v>
                </c:pt>
                <c:pt idx="287">
                  <c:v>167.99956541017923</c:v>
                </c:pt>
                <c:pt idx="288">
                  <c:v>167.55610541017927</c:v>
                </c:pt>
                <c:pt idx="289">
                  <c:v>167.49562541017917</c:v>
                </c:pt>
                <c:pt idx="290">
                  <c:v>167.88886541017928</c:v>
                </c:pt>
                <c:pt idx="291">
                  <c:v>168.15220541017925</c:v>
                </c:pt>
                <c:pt idx="292">
                  <c:v>168.81115541017925</c:v>
                </c:pt>
                <c:pt idx="293">
                  <c:v>169.66729541017935</c:v>
                </c:pt>
                <c:pt idx="294">
                  <c:v>170.21905541017941</c:v>
                </c:pt>
                <c:pt idx="295">
                  <c:v>171.10271541017937</c:v>
                </c:pt>
                <c:pt idx="296">
                  <c:v>172.16301541017947</c:v>
                </c:pt>
                <c:pt idx="297">
                  <c:v>172.76493541017953</c:v>
                </c:pt>
                <c:pt idx="298">
                  <c:v>173.41929541017953</c:v>
                </c:pt>
                <c:pt idx="299">
                  <c:v>173.92184541017946</c:v>
                </c:pt>
                <c:pt idx="300">
                  <c:v>174.61724541017952</c:v>
                </c:pt>
                <c:pt idx="301">
                  <c:v>174.94499541017944</c:v>
                </c:pt>
                <c:pt idx="302">
                  <c:v>175.67179541017936</c:v>
                </c:pt>
                <c:pt idx="303">
                  <c:v>175.98415541017926</c:v>
                </c:pt>
                <c:pt idx="304">
                  <c:v>176.44645541017917</c:v>
                </c:pt>
                <c:pt idx="305">
                  <c:v>176.95834541017916</c:v>
                </c:pt>
                <c:pt idx="306">
                  <c:v>177.42346541017923</c:v>
                </c:pt>
                <c:pt idx="307">
                  <c:v>178.05738541017922</c:v>
                </c:pt>
                <c:pt idx="308">
                  <c:v>178.71165541017922</c:v>
                </c:pt>
                <c:pt idx="309">
                  <c:v>179.34557541017921</c:v>
                </c:pt>
                <c:pt idx="310">
                  <c:v>179.84063541017917</c:v>
                </c:pt>
                <c:pt idx="311">
                  <c:v>180.67279541017911</c:v>
                </c:pt>
                <c:pt idx="312">
                  <c:v>181.45814541017921</c:v>
                </c:pt>
                <c:pt idx="313">
                  <c:v>181.8725454101791</c:v>
                </c:pt>
                <c:pt idx="314">
                  <c:v>182.55852541017907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97-48C0-977D-041EDC618CE7}"/>
            </c:ext>
          </c:extLst>
        </c:ser>
        <c:ser>
          <c:idx val="2"/>
          <c:order val="2"/>
          <c:tx>
            <c:v>sun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'data_Lab6_2025-09-29_132005'!$L$2:$L$316</c:f>
              <c:numCache>
                <c:formatCode>General</c:formatCode>
                <c:ptCount val="315"/>
                <c:pt idx="0">
                  <c:v>0</c:v>
                </c:pt>
                <c:pt idx="1">
                  <c:v>0.1</c:v>
                </c:pt>
                <c:pt idx="2">
                  <c:v>0.20499999999999999</c:v>
                </c:pt>
                <c:pt idx="3">
                  <c:v>0.318</c:v>
                </c:pt>
                <c:pt idx="4">
                  <c:v>0.432</c:v>
                </c:pt>
                <c:pt idx="5">
                  <c:v>0.54400000000000004</c:v>
                </c:pt>
                <c:pt idx="6">
                  <c:v>0.65700000000000003</c:v>
                </c:pt>
                <c:pt idx="7">
                  <c:v>0.76900000000000002</c:v>
                </c:pt>
                <c:pt idx="8">
                  <c:v>0.88300000000000001</c:v>
                </c:pt>
                <c:pt idx="9">
                  <c:v>0.995</c:v>
                </c:pt>
                <c:pt idx="10">
                  <c:v>1.1080000000000001</c:v>
                </c:pt>
                <c:pt idx="11">
                  <c:v>1.2210000000000001</c:v>
                </c:pt>
                <c:pt idx="12">
                  <c:v>1.3340000000000001</c:v>
                </c:pt>
                <c:pt idx="13">
                  <c:v>1.446</c:v>
                </c:pt>
                <c:pt idx="14">
                  <c:v>1.56</c:v>
                </c:pt>
                <c:pt idx="15">
                  <c:v>1.673</c:v>
                </c:pt>
                <c:pt idx="16">
                  <c:v>1.786</c:v>
                </c:pt>
                <c:pt idx="17">
                  <c:v>1.899</c:v>
                </c:pt>
                <c:pt idx="18">
                  <c:v>2.0129999999999999</c:v>
                </c:pt>
                <c:pt idx="19">
                  <c:v>2.125</c:v>
                </c:pt>
                <c:pt idx="20">
                  <c:v>2.238</c:v>
                </c:pt>
                <c:pt idx="21">
                  <c:v>2.351</c:v>
                </c:pt>
                <c:pt idx="22">
                  <c:v>2.4649999999999999</c:v>
                </c:pt>
                <c:pt idx="23">
                  <c:v>2.58</c:v>
                </c:pt>
                <c:pt idx="24">
                  <c:v>2.694</c:v>
                </c:pt>
                <c:pt idx="25">
                  <c:v>2.8079999999999998</c:v>
                </c:pt>
                <c:pt idx="26">
                  <c:v>2.9209999999999998</c:v>
                </c:pt>
                <c:pt idx="27">
                  <c:v>3.036</c:v>
                </c:pt>
                <c:pt idx="28">
                  <c:v>3.149</c:v>
                </c:pt>
                <c:pt idx="29">
                  <c:v>3.2639999999999998</c:v>
                </c:pt>
                <c:pt idx="30">
                  <c:v>3.379</c:v>
                </c:pt>
                <c:pt idx="31">
                  <c:v>3.4929999999999999</c:v>
                </c:pt>
                <c:pt idx="32">
                  <c:v>3.6059999999999999</c:v>
                </c:pt>
                <c:pt idx="33">
                  <c:v>3.7210000000000001</c:v>
                </c:pt>
                <c:pt idx="34">
                  <c:v>3.8359999999999999</c:v>
                </c:pt>
                <c:pt idx="35">
                  <c:v>3.9489999999999998</c:v>
                </c:pt>
                <c:pt idx="36">
                  <c:v>4.0640000000000001</c:v>
                </c:pt>
                <c:pt idx="37">
                  <c:v>4.1779999999999999</c:v>
                </c:pt>
                <c:pt idx="38">
                  <c:v>4.2919999999999998</c:v>
                </c:pt>
                <c:pt idx="39">
                  <c:v>4.4059999999999997</c:v>
                </c:pt>
                <c:pt idx="40">
                  <c:v>4.5199999999999996</c:v>
                </c:pt>
                <c:pt idx="41">
                  <c:v>4.633</c:v>
                </c:pt>
                <c:pt idx="42">
                  <c:v>4.7480000000000002</c:v>
                </c:pt>
                <c:pt idx="43">
                  <c:v>4.8630000000000004</c:v>
                </c:pt>
                <c:pt idx="44">
                  <c:v>4.9770000000000003</c:v>
                </c:pt>
                <c:pt idx="45">
                  <c:v>5.0919999999999996</c:v>
                </c:pt>
                <c:pt idx="46">
                  <c:v>5.2060000000000004</c:v>
                </c:pt>
                <c:pt idx="47">
                  <c:v>5.3209999999999997</c:v>
                </c:pt>
                <c:pt idx="48">
                  <c:v>5.4359999999999999</c:v>
                </c:pt>
                <c:pt idx="49">
                  <c:v>5.55</c:v>
                </c:pt>
                <c:pt idx="50">
                  <c:v>5.665</c:v>
                </c:pt>
                <c:pt idx="51">
                  <c:v>5.7789999999999999</c:v>
                </c:pt>
                <c:pt idx="52">
                  <c:v>5.8929999999999998</c:v>
                </c:pt>
                <c:pt idx="53">
                  <c:v>6.0069999999999997</c:v>
                </c:pt>
                <c:pt idx="54">
                  <c:v>6.1219999999999999</c:v>
                </c:pt>
                <c:pt idx="55">
                  <c:v>6.2370000000000001</c:v>
                </c:pt>
                <c:pt idx="56">
                  <c:v>6.351</c:v>
                </c:pt>
                <c:pt idx="57">
                  <c:v>6.4649999999999999</c:v>
                </c:pt>
                <c:pt idx="58">
                  <c:v>6.577</c:v>
                </c:pt>
                <c:pt idx="59">
                  <c:v>6.69</c:v>
                </c:pt>
                <c:pt idx="60">
                  <c:v>6.8010000000000002</c:v>
                </c:pt>
                <c:pt idx="61">
                  <c:v>6.9130000000000003</c:v>
                </c:pt>
                <c:pt idx="62">
                  <c:v>7.0229999999999997</c:v>
                </c:pt>
                <c:pt idx="63">
                  <c:v>7.1360000000000001</c:v>
                </c:pt>
                <c:pt idx="64">
                  <c:v>7.2469999999999999</c:v>
                </c:pt>
                <c:pt idx="65">
                  <c:v>7.3579999999999997</c:v>
                </c:pt>
                <c:pt idx="66">
                  <c:v>7.47</c:v>
                </c:pt>
                <c:pt idx="67">
                  <c:v>7.5810000000000004</c:v>
                </c:pt>
                <c:pt idx="68">
                  <c:v>7.694</c:v>
                </c:pt>
                <c:pt idx="69">
                  <c:v>7.8079999999999998</c:v>
                </c:pt>
                <c:pt idx="70">
                  <c:v>7.9219999999999997</c:v>
                </c:pt>
                <c:pt idx="71">
                  <c:v>8.0359999999999996</c:v>
                </c:pt>
                <c:pt idx="72">
                  <c:v>8.1489999999999991</c:v>
                </c:pt>
                <c:pt idx="73">
                  <c:v>8.2639999999999993</c:v>
                </c:pt>
                <c:pt idx="74">
                  <c:v>8.3780000000000001</c:v>
                </c:pt>
                <c:pt idx="75">
                  <c:v>8.4930000000000003</c:v>
                </c:pt>
                <c:pt idx="76">
                  <c:v>8.6050000000000004</c:v>
                </c:pt>
                <c:pt idx="77">
                  <c:v>8.7200000000000006</c:v>
                </c:pt>
                <c:pt idx="78">
                  <c:v>8.8350000000000009</c:v>
                </c:pt>
                <c:pt idx="79">
                  <c:v>8.9489999999999998</c:v>
                </c:pt>
                <c:pt idx="80">
                  <c:v>9.0660000000000007</c:v>
                </c:pt>
                <c:pt idx="81">
                  <c:v>9.1809999999999992</c:v>
                </c:pt>
                <c:pt idx="82">
                  <c:v>9.2970000000000006</c:v>
                </c:pt>
                <c:pt idx="83">
                  <c:v>9.4130000000000003</c:v>
                </c:pt>
                <c:pt idx="84">
                  <c:v>9.5280000000000005</c:v>
                </c:pt>
                <c:pt idx="85">
                  <c:v>9.6440000000000001</c:v>
                </c:pt>
                <c:pt idx="86">
                  <c:v>9.76</c:v>
                </c:pt>
                <c:pt idx="87">
                  <c:v>9.875</c:v>
                </c:pt>
                <c:pt idx="88">
                  <c:v>9.9909999999999997</c:v>
                </c:pt>
                <c:pt idx="89">
                  <c:v>10.106</c:v>
                </c:pt>
                <c:pt idx="90">
                  <c:v>10.221</c:v>
                </c:pt>
                <c:pt idx="91">
                  <c:v>10.337</c:v>
                </c:pt>
                <c:pt idx="92">
                  <c:v>10.451000000000001</c:v>
                </c:pt>
                <c:pt idx="93">
                  <c:v>10.566000000000001</c:v>
                </c:pt>
                <c:pt idx="94">
                  <c:v>10.68</c:v>
                </c:pt>
                <c:pt idx="95">
                  <c:v>10.795</c:v>
                </c:pt>
                <c:pt idx="96">
                  <c:v>10.91</c:v>
                </c:pt>
                <c:pt idx="97">
                  <c:v>11.023999999999999</c:v>
                </c:pt>
                <c:pt idx="98">
                  <c:v>11.138999999999999</c:v>
                </c:pt>
                <c:pt idx="99">
                  <c:v>11.250999999999999</c:v>
                </c:pt>
                <c:pt idx="100">
                  <c:v>11.364000000000001</c:v>
                </c:pt>
                <c:pt idx="101">
                  <c:v>11.474</c:v>
                </c:pt>
                <c:pt idx="102">
                  <c:v>11.586</c:v>
                </c:pt>
                <c:pt idx="103">
                  <c:v>11.696999999999999</c:v>
                </c:pt>
                <c:pt idx="104">
                  <c:v>11.81</c:v>
                </c:pt>
                <c:pt idx="105">
                  <c:v>11.922000000000001</c:v>
                </c:pt>
                <c:pt idx="106">
                  <c:v>12.035</c:v>
                </c:pt>
                <c:pt idx="107">
                  <c:v>12.146000000000001</c:v>
                </c:pt>
                <c:pt idx="108">
                  <c:v>12.257</c:v>
                </c:pt>
                <c:pt idx="109">
                  <c:v>12.37</c:v>
                </c:pt>
                <c:pt idx="110">
                  <c:v>12.481999999999999</c:v>
                </c:pt>
                <c:pt idx="111">
                  <c:v>12.597</c:v>
                </c:pt>
                <c:pt idx="112">
                  <c:v>12.711</c:v>
                </c:pt>
                <c:pt idx="113">
                  <c:v>12.824</c:v>
                </c:pt>
                <c:pt idx="114">
                  <c:v>12.938000000000001</c:v>
                </c:pt>
                <c:pt idx="115">
                  <c:v>13.053000000000001</c:v>
                </c:pt>
                <c:pt idx="116">
                  <c:v>13.169</c:v>
                </c:pt>
                <c:pt idx="117">
                  <c:v>13.282999999999999</c:v>
                </c:pt>
                <c:pt idx="118">
                  <c:v>13.396000000000001</c:v>
                </c:pt>
                <c:pt idx="119">
                  <c:v>13.510999999999999</c:v>
                </c:pt>
                <c:pt idx="120">
                  <c:v>13.625</c:v>
                </c:pt>
                <c:pt idx="121">
                  <c:v>13.74</c:v>
                </c:pt>
                <c:pt idx="122">
                  <c:v>13.856</c:v>
                </c:pt>
                <c:pt idx="123">
                  <c:v>13.972</c:v>
                </c:pt>
                <c:pt idx="124">
                  <c:v>14.087999999999999</c:v>
                </c:pt>
                <c:pt idx="125">
                  <c:v>14.202999999999999</c:v>
                </c:pt>
                <c:pt idx="126">
                  <c:v>14.319000000000001</c:v>
                </c:pt>
                <c:pt idx="127">
                  <c:v>14.435</c:v>
                </c:pt>
                <c:pt idx="128">
                  <c:v>14.55</c:v>
                </c:pt>
                <c:pt idx="129">
                  <c:v>14.666</c:v>
                </c:pt>
                <c:pt idx="130">
                  <c:v>14.78</c:v>
                </c:pt>
                <c:pt idx="131">
                  <c:v>14.896000000000001</c:v>
                </c:pt>
                <c:pt idx="132">
                  <c:v>15.010999999999999</c:v>
                </c:pt>
                <c:pt idx="133">
                  <c:v>15.125</c:v>
                </c:pt>
                <c:pt idx="134">
                  <c:v>15.241</c:v>
                </c:pt>
                <c:pt idx="135">
                  <c:v>15.355</c:v>
                </c:pt>
                <c:pt idx="136">
                  <c:v>15.468999999999999</c:v>
                </c:pt>
                <c:pt idx="137">
                  <c:v>15.583</c:v>
                </c:pt>
                <c:pt idx="138">
                  <c:v>15.698</c:v>
                </c:pt>
                <c:pt idx="139">
                  <c:v>15.813000000000001</c:v>
                </c:pt>
                <c:pt idx="140">
                  <c:v>15.927</c:v>
                </c:pt>
                <c:pt idx="141">
                  <c:v>16.041</c:v>
                </c:pt>
                <c:pt idx="142">
                  <c:v>16.154</c:v>
                </c:pt>
                <c:pt idx="143">
                  <c:v>16.266999999999999</c:v>
                </c:pt>
                <c:pt idx="144">
                  <c:v>16.379000000000001</c:v>
                </c:pt>
                <c:pt idx="145">
                  <c:v>16.491</c:v>
                </c:pt>
                <c:pt idx="146">
                  <c:v>16.602</c:v>
                </c:pt>
                <c:pt idx="147">
                  <c:v>16.715</c:v>
                </c:pt>
                <c:pt idx="148">
                  <c:v>16.827000000000002</c:v>
                </c:pt>
                <c:pt idx="149">
                  <c:v>16.940000000000001</c:v>
                </c:pt>
                <c:pt idx="150">
                  <c:v>17.052</c:v>
                </c:pt>
                <c:pt idx="151">
                  <c:v>17.164000000000001</c:v>
                </c:pt>
                <c:pt idx="152">
                  <c:v>17.276</c:v>
                </c:pt>
                <c:pt idx="153">
                  <c:v>17.388999999999999</c:v>
                </c:pt>
                <c:pt idx="154">
                  <c:v>17.503</c:v>
                </c:pt>
                <c:pt idx="155">
                  <c:v>17.617000000000001</c:v>
                </c:pt>
                <c:pt idx="156">
                  <c:v>17.73</c:v>
                </c:pt>
                <c:pt idx="157">
                  <c:v>17.844999999999999</c:v>
                </c:pt>
                <c:pt idx="158">
                  <c:v>17.96</c:v>
                </c:pt>
                <c:pt idx="159">
                  <c:v>18.074999999999999</c:v>
                </c:pt>
                <c:pt idx="160">
                  <c:v>18.190999999999999</c:v>
                </c:pt>
                <c:pt idx="161">
                  <c:v>18.303000000000001</c:v>
                </c:pt>
                <c:pt idx="162">
                  <c:v>18.417999999999999</c:v>
                </c:pt>
                <c:pt idx="163">
                  <c:v>18.532</c:v>
                </c:pt>
                <c:pt idx="164">
                  <c:v>18.648</c:v>
                </c:pt>
                <c:pt idx="165">
                  <c:v>18.765000000000001</c:v>
                </c:pt>
                <c:pt idx="166">
                  <c:v>18.88</c:v>
                </c:pt>
                <c:pt idx="167">
                  <c:v>18.995999999999999</c:v>
                </c:pt>
                <c:pt idx="168">
                  <c:v>19.111999999999998</c:v>
                </c:pt>
                <c:pt idx="169">
                  <c:v>19.227</c:v>
                </c:pt>
                <c:pt idx="170">
                  <c:v>19.343</c:v>
                </c:pt>
                <c:pt idx="171">
                  <c:v>19.457999999999998</c:v>
                </c:pt>
                <c:pt idx="172">
                  <c:v>19.574000000000002</c:v>
                </c:pt>
                <c:pt idx="173">
                  <c:v>19.689</c:v>
                </c:pt>
                <c:pt idx="174">
                  <c:v>19.803999999999998</c:v>
                </c:pt>
                <c:pt idx="175">
                  <c:v>19.919</c:v>
                </c:pt>
                <c:pt idx="176">
                  <c:v>20.033000000000001</c:v>
                </c:pt>
                <c:pt idx="177">
                  <c:v>20.149000000000001</c:v>
                </c:pt>
                <c:pt idx="178">
                  <c:v>20.265000000000001</c:v>
                </c:pt>
                <c:pt idx="179">
                  <c:v>20.378</c:v>
                </c:pt>
                <c:pt idx="180">
                  <c:v>20.492999999999999</c:v>
                </c:pt>
                <c:pt idx="181">
                  <c:v>20.606999999999999</c:v>
                </c:pt>
                <c:pt idx="182">
                  <c:v>20.722000000000001</c:v>
                </c:pt>
                <c:pt idx="183">
                  <c:v>20.837</c:v>
                </c:pt>
                <c:pt idx="184">
                  <c:v>20.95</c:v>
                </c:pt>
                <c:pt idx="185">
                  <c:v>21.064</c:v>
                </c:pt>
                <c:pt idx="186">
                  <c:v>21.175999999999998</c:v>
                </c:pt>
                <c:pt idx="187">
                  <c:v>21.289000000000001</c:v>
                </c:pt>
                <c:pt idx="188">
                  <c:v>21.4</c:v>
                </c:pt>
                <c:pt idx="189">
                  <c:v>21.513000000000002</c:v>
                </c:pt>
                <c:pt idx="190">
                  <c:v>21.625</c:v>
                </c:pt>
                <c:pt idx="191">
                  <c:v>21.738</c:v>
                </c:pt>
                <c:pt idx="192">
                  <c:v>21.85</c:v>
                </c:pt>
                <c:pt idx="193">
                  <c:v>21.963000000000001</c:v>
                </c:pt>
                <c:pt idx="194">
                  <c:v>22.074999999999999</c:v>
                </c:pt>
                <c:pt idx="195">
                  <c:v>22.189</c:v>
                </c:pt>
                <c:pt idx="196">
                  <c:v>22.300999999999998</c:v>
                </c:pt>
                <c:pt idx="197">
                  <c:v>22.414999999999999</c:v>
                </c:pt>
                <c:pt idx="198">
                  <c:v>22.529</c:v>
                </c:pt>
                <c:pt idx="199">
                  <c:v>22.643000000000001</c:v>
                </c:pt>
                <c:pt idx="200">
                  <c:v>22.757999999999999</c:v>
                </c:pt>
                <c:pt idx="201">
                  <c:v>22.872</c:v>
                </c:pt>
                <c:pt idx="202">
                  <c:v>22.988</c:v>
                </c:pt>
                <c:pt idx="203">
                  <c:v>23.103000000000002</c:v>
                </c:pt>
                <c:pt idx="204">
                  <c:v>23.219000000000001</c:v>
                </c:pt>
                <c:pt idx="205">
                  <c:v>23.332000000000001</c:v>
                </c:pt>
                <c:pt idx="206">
                  <c:v>23.446000000000002</c:v>
                </c:pt>
                <c:pt idx="207">
                  <c:v>23.561</c:v>
                </c:pt>
                <c:pt idx="208">
                  <c:v>23.675999999999998</c:v>
                </c:pt>
                <c:pt idx="209">
                  <c:v>23.792999999999999</c:v>
                </c:pt>
                <c:pt idx="210">
                  <c:v>23.908000000000001</c:v>
                </c:pt>
                <c:pt idx="211">
                  <c:v>24.023</c:v>
                </c:pt>
                <c:pt idx="212">
                  <c:v>24.138999999999999</c:v>
                </c:pt>
                <c:pt idx="213">
                  <c:v>24.254000000000001</c:v>
                </c:pt>
                <c:pt idx="214">
                  <c:v>24.37</c:v>
                </c:pt>
                <c:pt idx="215">
                  <c:v>24.486000000000001</c:v>
                </c:pt>
                <c:pt idx="216">
                  <c:v>24.600999999999999</c:v>
                </c:pt>
                <c:pt idx="217">
                  <c:v>24.716999999999999</c:v>
                </c:pt>
                <c:pt idx="218">
                  <c:v>24.832999999999998</c:v>
                </c:pt>
                <c:pt idx="219">
                  <c:v>24.946999999999999</c:v>
                </c:pt>
                <c:pt idx="220">
                  <c:v>25.062000000000001</c:v>
                </c:pt>
                <c:pt idx="221">
                  <c:v>25.175999999999998</c:v>
                </c:pt>
                <c:pt idx="222">
                  <c:v>25.292000000000002</c:v>
                </c:pt>
                <c:pt idx="223">
                  <c:v>25.405999999999999</c:v>
                </c:pt>
                <c:pt idx="224">
                  <c:v>25.518999999999998</c:v>
                </c:pt>
                <c:pt idx="225">
                  <c:v>25.634</c:v>
                </c:pt>
                <c:pt idx="226">
                  <c:v>25.748000000000001</c:v>
                </c:pt>
                <c:pt idx="227">
                  <c:v>25.863</c:v>
                </c:pt>
                <c:pt idx="228">
                  <c:v>25.975999999999999</c:v>
                </c:pt>
                <c:pt idx="229">
                  <c:v>26.09</c:v>
                </c:pt>
                <c:pt idx="230">
                  <c:v>26.202000000000002</c:v>
                </c:pt>
                <c:pt idx="231">
                  <c:v>26.314</c:v>
                </c:pt>
                <c:pt idx="232">
                  <c:v>26.425000000000001</c:v>
                </c:pt>
                <c:pt idx="233">
                  <c:v>26.539000000000001</c:v>
                </c:pt>
                <c:pt idx="234">
                  <c:v>26.652000000000001</c:v>
                </c:pt>
                <c:pt idx="235">
                  <c:v>26.766999999999999</c:v>
                </c:pt>
                <c:pt idx="236">
                  <c:v>26.882000000000001</c:v>
                </c:pt>
                <c:pt idx="237">
                  <c:v>26.997</c:v>
                </c:pt>
                <c:pt idx="238">
                  <c:v>27.113</c:v>
                </c:pt>
                <c:pt idx="239">
                  <c:v>27.228000000000002</c:v>
                </c:pt>
                <c:pt idx="240">
                  <c:v>27.344000000000001</c:v>
                </c:pt>
                <c:pt idx="241">
                  <c:v>27.459</c:v>
                </c:pt>
                <c:pt idx="242">
                  <c:v>27.571999999999999</c:v>
                </c:pt>
                <c:pt idx="243">
                  <c:v>27.687000000000001</c:v>
                </c:pt>
                <c:pt idx="244">
                  <c:v>27.800999999999998</c:v>
                </c:pt>
                <c:pt idx="245">
                  <c:v>27.916</c:v>
                </c:pt>
                <c:pt idx="246">
                  <c:v>28.030999999999999</c:v>
                </c:pt>
                <c:pt idx="247">
                  <c:v>28.143999999999998</c:v>
                </c:pt>
                <c:pt idx="248">
                  <c:v>28.257999999999999</c:v>
                </c:pt>
                <c:pt idx="249">
                  <c:v>28.370999999999999</c:v>
                </c:pt>
                <c:pt idx="250">
                  <c:v>28.486000000000001</c:v>
                </c:pt>
                <c:pt idx="251">
                  <c:v>28.6</c:v>
                </c:pt>
                <c:pt idx="252">
                  <c:v>28.713999999999999</c:v>
                </c:pt>
                <c:pt idx="253">
                  <c:v>28.827000000000002</c:v>
                </c:pt>
                <c:pt idx="254">
                  <c:v>28.940999999999999</c:v>
                </c:pt>
                <c:pt idx="255">
                  <c:v>29.056000000000001</c:v>
                </c:pt>
                <c:pt idx="256">
                  <c:v>29.169</c:v>
                </c:pt>
                <c:pt idx="257">
                  <c:v>29.283000000000001</c:v>
                </c:pt>
                <c:pt idx="258">
                  <c:v>29.396000000000001</c:v>
                </c:pt>
                <c:pt idx="259">
                  <c:v>29.51</c:v>
                </c:pt>
                <c:pt idx="260">
                  <c:v>29.623999999999999</c:v>
                </c:pt>
                <c:pt idx="261">
                  <c:v>29.738</c:v>
                </c:pt>
                <c:pt idx="262">
                  <c:v>29.850999999999999</c:v>
                </c:pt>
                <c:pt idx="263">
                  <c:v>29.965</c:v>
                </c:pt>
                <c:pt idx="264">
                  <c:v>30.079000000000001</c:v>
                </c:pt>
                <c:pt idx="265">
                  <c:v>30.193000000000001</c:v>
                </c:pt>
                <c:pt idx="266">
                  <c:v>30.306999999999999</c:v>
                </c:pt>
                <c:pt idx="267">
                  <c:v>30.42</c:v>
                </c:pt>
                <c:pt idx="268">
                  <c:v>30.533999999999999</c:v>
                </c:pt>
                <c:pt idx="269">
                  <c:v>30.646999999999998</c:v>
                </c:pt>
                <c:pt idx="270">
                  <c:v>30.762</c:v>
                </c:pt>
                <c:pt idx="271">
                  <c:v>30.875</c:v>
                </c:pt>
                <c:pt idx="272">
                  <c:v>30.989000000000001</c:v>
                </c:pt>
                <c:pt idx="273">
                  <c:v>31.103000000000002</c:v>
                </c:pt>
                <c:pt idx="274">
                  <c:v>31.216999999999999</c:v>
                </c:pt>
                <c:pt idx="275">
                  <c:v>31.332000000000001</c:v>
                </c:pt>
                <c:pt idx="276">
                  <c:v>31.446000000000002</c:v>
                </c:pt>
                <c:pt idx="277">
                  <c:v>31.561</c:v>
                </c:pt>
                <c:pt idx="278">
                  <c:v>31.673999999999999</c:v>
                </c:pt>
                <c:pt idx="279">
                  <c:v>31.786999999999999</c:v>
                </c:pt>
                <c:pt idx="280">
                  <c:v>31.9</c:v>
                </c:pt>
                <c:pt idx="281">
                  <c:v>32.014000000000003</c:v>
                </c:pt>
                <c:pt idx="282">
                  <c:v>32.127000000000002</c:v>
                </c:pt>
                <c:pt idx="283">
                  <c:v>32.24</c:v>
                </c:pt>
                <c:pt idx="284">
                  <c:v>32.353999999999999</c:v>
                </c:pt>
                <c:pt idx="285">
                  <c:v>32.468000000000004</c:v>
                </c:pt>
                <c:pt idx="286">
                  <c:v>32.582000000000001</c:v>
                </c:pt>
                <c:pt idx="287">
                  <c:v>32.695</c:v>
                </c:pt>
                <c:pt idx="288">
                  <c:v>32.808999999999997</c:v>
                </c:pt>
                <c:pt idx="289">
                  <c:v>32.920999999999999</c:v>
                </c:pt>
                <c:pt idx="290">
                  <c:v>33.033999999999999</c:v>
                </c:pt>
                <c:pt idx="291">
                  <c:v>33.148000000000003</c:v>
                </c:pt>
                <c:pt idx="292">
                  <c:v>33.262999999999998</c:v>
                </c:pt>
                <c:pt idx="293">
                  <c:v>33.377000000000002</c:v>
                </c:pt>
                <c:pt idx="294">
                  <c:v>33.491</c:v>
                </c:pt>
                <c:pt idx="295">
                  <c:v>33.603999999999999</c:v>
                </c:pt>
                <c:pt idx="296">
                  <c:v>33.719000000000001</c:v>
                </c:pt>
                <c:pt idx="297">
                  <c:v>33.832999999999998</c:v>
                </c:pt>
                <c:pt idx="298">
                  <c:v>33.947000000000003</c:v>
                </c:pt>
                <c:pt idx="299">
                  <c:v>34.061999999999998</c:v>
                </c:pt>
                <c:pt idx="300">
                  <c:v>34.176000000000002</c:v>
                </c:pt>
                <c:pt idx="301">
                  <c:v>34.290999999999997</c:v>
                </c:pt>
                <c:pt idx="302">
                  <c:v>34.405999999999999</c:v>
                </c:pt>
                <c:pt idx="303">
                  <c:v>34.520000000000003</c:v>
                </c:pt>
                <c:pt idx="304">
                  <c:v>34.634999999999998</c:v>
                </c:pt>
                <c:pt idx="305">
                  <c:v>34.747999999999998</c:v>
                </c:pt>
                <c:pt idx="306">
                  <c:v>34.862000000000002</c:v>
                </c:pt>
                <c:pt idx="307">
                  <c:v>34.973999999999997</c:v>
                </c:pt>
                <c:pt idx="308">
                  <c:v>35.087000000000003</c:v>
                </c:pt>
                <c:pt idx="309">
                  <c:v>35.198999999999998</c:v>
                </c:pt>
                <c:pt idx="310">
                  <c:v>35.31</c:v>
                </c:pt>
                <c:pt idx="311">
                  <c:v>35.421999999999997</c:v>
                </c:pt>
                <c:pt idx="312">
                  <c:v>35.534999999999997</c:v>
                </c:pt>
                <c:pt idx="313">
                  <c:v>35.646999999999998</c:v>
                </c:pt>
                <c:pt idx="314">
                  <c:v>35.758000000000003</c:v>
                </c:pt>
              </c:numCache>
            </c:numRef>
          </c:xVal>
          <c:yVal>
            <c:numRef>
              <c:f>'data_Lab6_2025-09-29_132005'!$AB$2:$AB$316</c:f>
              <c:numCache>
                <c:formatCode>General</c:formatCode>
                <c:ptCount val="315"/>
                <c:pt idx="0">
                  <c:v>185.97525541017927</c:v>
                </c:pt>
                <c:pt idx="1">
                  <c:v>185.97525541017927</c:v>
                </c:pt>
                <c:pt idx="2">
                  <c:v>185.93525541017931</c:v>
                </c:pt>
                <c:pt idx="3">
                  <c:v>185.90525541017928</c:v>
                </c:pt>
                <c:pt idx="4">
                  <c:v>185.84525541017928</c:v>
                </c:pt>
                <c:pt idx="5">
                  <c:v>185.8152554101793</c:v>
                </c:pt>
                <c:pt idx="6">
                  <c:v>185.78525541017927</c:v>
                </c:pt>
                <c:pt idx="7">
                  <c:v>185.7552554101793</c:v>
                </c:pt>
                <c:pt idx="8">
                  <c:v>185.78525541017927</c:v>
                </c:pt>
                <c:pt idx="9">
                  <c:v>185.7552554101793</c:v>
                </c:pt>
                <c:pt idx="10">
                  <c:v>185.65525541017928</c:v>
                </c:pt>
                <c:pt idx="11">
                  <c:v>185.55525541017931</c:v>
                </c:pt>
                <c:pt idx="12">
                  <c:v>185.53525541017927</c:v>
                </c:pt>
                <c:pt idx="13">
                  <c:v>185.55525541017931</c:v>
                </c:pt>
                <c:pt idx="14">
                  <c:v>185.49525541017931</c:v>
                </c:pt>
                <c:pt idx="15">
                  <c:v>185.47525541017927</c:v>
                </c:pt>
                <c:pt idx="16">
                  <c:v>185.45525541017929</c:v>
                </c:pt>
                <c:pt idx="17">
                  <c:v>184.79525541017927</c:v>
                </c:pt>
                <c:pt idx="18">
                  <c:v>184.77525541017928</c:v>
                </c:pt>
                <c:pt idx="19">
                  <c:v>185.39525541017929</c:v>
                </c:pt>
                <c:pt idx="20">
                  <c:v>185.39525541017929</c:v>
                </c:pt>
                <c:pt idx="21">
                  <c:v>185.37525541017931</c:v>
                </c:pt>
                <c:pt idx="22">
                  <c:v>185.33525541017929</c:v>
                </c:pt>
                <c:pt idx="23">
                  <c:v>185.3252554101793</c:v>
                </c:pt>
                <c:pt idx="24">
                  <c:v>185.33525541017929</c:v>
                </c:pt>
                <c:pt idx="25">
                  <c:v>185.3252554101793</c:v>
                </c:pt>
                <c:pt idx="26">
                  <c:v>185.3252554101793</c:v>
                </c:pt>
                <c:pt idx="27">
                  <c:v>185.3252554101793</c:v>
                </c:pt>
                <c:pt idx="28">
                  <c:v>185.3252554101793</c:v>
                </c:pt>
                <c:pt idx="29">
                  <c:v>185.33525541017929</c:v>
                </c:pt>
                <c:pt idx="30">
                  <c:v>185.33525541017929</c:v>
                </c:pt>
                <c:pt idx="31">
                  <c:v>185.37525541017931</c:v>
                </c:pt>
                <c:pt idx="32">
                  <c:v>185.33525541017929</c:v>
                </c:pt>
                <c:pt idx="33">
                  <c:v>185.28525541017927</c:v>
                </c:pt>
                <c:pt idx="34">
                  <c:v>184.71525541017928</c:v>
                </c:pt>
                <c:pt idx="35">
                  <c:v>184.71525541017928</c:v>
                </c:pt>
                <c:pt idx="36">
                  <c:v>185.28525541017927</c:v>
                </c:pt>
                <c:pt idx="37">
                  <c:v>184.73525541017926</c:v>
                </c:pt>
                <c:pt idx="38">
                  <c:v>184.71525541017928</c:v>
                </c:pt>
                <c:pt idx="39">
                  <c:v>184.73525541017926</c:v>
                </c:pt>
                <c:pt idx="40">
                  <c:v>185.30525541017931</c:v>
                </c:pt>
                <c:pt idx="41">
                  <c:v>185.30525541017931</c:v>
                </c:pt>
                <c:pt idx="42">
                  <c:v>185.28525541017927</c:v>
                </c:pt>
                <c:pt idx="43">
                  <c:v>184.70525541017929</c:v>
                </c:pt>
                <c:pt idx="44">
                  <c:v>184.67525541017926</c:v>
                </c:pt>
                <c:pt idx="45">
                  <c:v>184.65525541017928</c:v>
                </c:pt>
                <c:pt idx="46">
                  <c:v>184.10525541017927</c:v>
                </c:pt>
                <c:pt idx="47">
                  <c:v>184.60525541017927</c:v>
                </c:pt>
                <c:pt idx="48">
                  <c:v>184.59525541017928</c:v>
                </c:pt>
                <c:pt idx="49">
                  <c:v>184.58525541017929</c:v>
                </c:pt>
                <c:pt idx="50">
                  <c:v>185.05525541017931</c:v>
                </c:pt>
                <c:pt idx="51">
                  <c:v>184.55525541017931</c:v>
                </c:pt>
                <c:pt idx="52">
                  <c:v>184.55525541017931</c:v>
                </c:pt>
                <c:pt idx="53">
                  <c:v>184.55525541017931</c:v>
                </c:pt>
                <c:pt idx="54">
                  <c:v>184.62525541017931</c:v>
                </c:pt>
                <c:pt idx="55">
                  <c:v>185.28525541017927</c:v>
                </c:pt>
                <c:pt idx="56">
                  <c:v>186.59525541017928</c:v>
                </c:pt>
                <c:pt idx="57">
                  <c:v>187.76525541017929</c:v>
                </c:pt>
                <c:pt idx="58">
                  <c:v>168.65525541017928</c:v>
                </c:pt>
                <c:pt idx="59">
                  <c:v>91.9452554101793</c:v>
                </c:pt>
                <c:pt idx="60">
                  <c:v>92.715255410179282</c:v>
                </c:pt>
                <c:pt idx="61">
                  <c:v>92.235255410179263</c:v>
                </c:pt>
                <c:pt idx="62">
                  <c:v>92.405255410179279</c:v>
                </c:pt>
                <c:pt idx="63">
                  <c:v>92.955255410179291</c:v>
                </c:pt>
                <c:pt idx="64">
                  <c:v>92.865255410179259</c:v>
                </c:pt>
                <c:pt idx="65">
                  <c:v>93.585255410179286</c:v>
                </c:pt>
                <c:pt idx="66">
                  <c:v>94.9452554101793</c:v>
                </c:pt>
                <c:pt idx="67">
                  <c:v>93.585255410179286</c:v>
                </c:pt>
                <c:pt idx="68">
                  <c:v>53.775255410179284</c:v>
                </c:pt>
                <c:pt idx="69">
                  <c:v>8.0952554101792771</c:v>
                </c:pt>
                <c:pt idx="70">
                  <c:v>3.5852554101792862</c:v>
                </c:pt>
                <c:pt idx="71">
                  <c:v>2.8052554101792566</c:v>
                </c:pt>
                <c:pt idx="72">
                  <c:v>3.5852554101792862</c:v>
                </c:pt>
                <c:pt idx="73">
                  <c:v>3.5852554101792862</c:v>
                </c:pt>
                <c:pt idx="74">
                  <c:v>5.1952554101792998</c:v>
                </c:pt>
                <c:pt idx="75">
                  <c:v>127.27525541017928</c:v>
                </c:pt>
                <c:pt idx="76">
                  <c:v>7.3152554101792475</c:v>
                </c:pt>
                <c:pt idx="77">
                  <c:v>8.9452554101792998</c:v>
                </c:pt>
                <c:pt idx="78">
                  <c:v>9.5952554101792771</c:v>
                </c:pt>
                <c:pt idx="79">
                  <c:v>318.58525541017929</c:v>
                </c:pt>
                <c:pt idx="80">
                  <c:v>278.15525541017928</c:v>
                </c:pt>
                <c:pt idx="81">
                  <c:v>275.05525541017931</c:v>
                </c:pt>
                <c:pt idx="82">
                  <c:v>275.87525541017931</c:v>
                </c:pt>
                <c:pt idx="83">
                  <c:v>275.6352554101793</c:v>
                </c:pt>
                <c:pt idx="84">
                  <c:v>276.40525541017928</c:v>
                </c:pt>
                <c:pt idx="85">
                  <c:v>277.53525541017927</c:v>
                </c:pt>
                <c:pt idx="86">
                  <c:v>278.15525541017928</c:v>
                </c:pt>
                <c:pt idx="87">
                  <c:v>280.0652554101793</c:v>
                </c:pt>
                <c:pt idx="88">
                  <c:v>281.49525541017931</c:v>
                </c:pt>
                <c:pt idx="89">
                  <c:v>282.67525541017926</c:v>
                </c:pt>
                <c:pt idx="90">
                  <c:v>251.78525541017927</c:v>
                </c:pt>
                <c:pt idx="91">
                  <c:v>198.65525541017928</c:v>
                </c:pt>
                <c:pt idx="92">
                  <c:v>185.66525541017927</c:v>
                </c:pt>
                <c:pt idx="93">
                  <c:v>185.70525541017929</c:v>
                </c:pt>
                <c:pt idx="94">
                  <c:v>184.64525541017929</c:v>
                </c:pt>
                <c:pt idx="95">
                  <c:v>184.48525541017926</c:v>
                </c:pt>
                <c:pt idx="96">
                  <c:v>185.01525541017929</c:v>
                </c:pt>
                <c:pt idx="97">
                  <c:v>185.17525541017926</c:v>
                </c:pt>
                <c:pt idx="98">
                  <c:v>186.34525541017928</c:v>
                </c:pt>
                <c:pt idx="99">
                  <c:v>188.55525541017931</c:v>
                </c:pt>
                <c:pt idx="100">
                  <c:v>180.40525541017928</c:v>
                </c:pt>
                <c:pt idx="101">
                  <c:v>95.225255410179273</c:v>
                </c:pt>
                <c:pt idx="102">
                  <c:v>91.925255410179318</c:v>
                </c:pt>
                <c:pt idx="103">
                  <c:v>92.375255410179307</c:v>
                </c:pt>
                <c:pt idx="104">
                  <c:v>92.565255410179304</c:v>
                </c:pt>
                <c:pt idx="105">
                  <c:v>93.065255410179304</c:v>
                </c:pt>
                <c:pt idx="106">
                  <c:v>93.585255410179286</c:v>
                </c:pt>
                <c:pt idx="107">
                  <c:v>94.285255410179275</c:v>
                </c:pt>
                <c:pt idx="108">
                  <c:v>94.66525541017927</c:v>
                </c:pt>
                <c:pt idx="109">
                  <c:v>93.585255410179286</c:v>
                </c:pt>
                <c:pt idx="110">
                  <c:v>54.025255410179284</c:v>
                </c:pt>
                <c:pt idx="111">
                  <c:v>9.5352554101792748</c:v>
                </c:pt>
                <c:pt idx="112">
                  <c:v>3.5852554101792862</c:v>
                </c:pt>
                <c:pt idx="113">
                  <c:v>3.5852554101792862</c:v>
                </c:pt>
                <c:pt idx="114">
                  <c:v>3.5852554101792862</c:v>
                </c:pt>
                <c:pt idx="115">
                  <c:v>4.6852554101792521</c:v>
                </c:pt>
                <c:pt idx="116">
                  <c:v>4.1852554101792521</c:v>
                </c:pt>
                <c:pt idx="117">
                  <c:v>112.01525541017929</c:v>
                </c:pt>
                <c:pt idx="118">
                  <c:v>7.1652554101792703</c:v>
                </c:pt>
                <c:pt idx="119">
                  <c:v>8.6652554101792703</c:v>
                </c:pt>
                <c:pt idx="120">
                  <c:v>11.175255410179261</c:v>
                </c:pt>
                <c:pt idx="121">
                  <c:v>345.15525541017928</c:v>
                </c:pt>
                <c:pt idx="122">
                  <c:v>283.8852554101793</c:v>
                </c:pt>
                <c:pt idx="123">
                  <c:v>276.3152554101793</c:v>
                </c:pt>
                <c:pt idx="124">
                  <c:v>274.55525541017931</c:v>
                </c:pt>
                <c:pt idx="125">
                  <c:v>275.26525541017929</c:v>
                </c:pt>
                <c:pt idx="126">
                  <c:v>275.84525541017928</c:v>
                </c:pt>
                <c:pt idx="127">
                  <c:v>276.52525541017928</c:v>
                </c:pt>
                <c:pt idx="128">
                  <c:v>277.72525541017927</c:v>
                </c:pt>
                <c:pt idx="129">
                  <c:v>14.895255410179288</c:v>
                </c:pt>
                <c:pt idx="130">
                  <c:v>279.18525541017931</c:v>
                </c:pt>
                <c:pt idx="131">
                  <c:v>280.89525541017929</c:v>
                </c:pt>
                <c:pt idx="132">
                  <c:v>275.87525541017931</c:v>
                </c:pt>
                <c:pt idx="133">
                  <c:v>224.77525541017928</c:v>
                </c:pt>
                <c:pt idx="134">
                  <c:v>190.71525541017928</c:v>
                </c:pt>
                <c:pt idx="135">
                  <c:v>186.34525541017928</c:v>
                </c:pt>
                <c:pt idx="136">
                  <c:v>185.54525541017927</c:v>
                </c:pt>
                <c:pt idx="137">
                  <c:v>184.70525541017929</c:v>
                </c:pt>
                <c:pt idx="138">
                  <c:v>184.59525541017928</c:v>
                </c:pt>
                <c:pt idx="139">
                  <c:v>184.65525541017928</c:v>
                </c:pt>
                <c:pt idx="140">
                  <c:v>185.23525541017926</c:v>
                </c:pt>
                <c:pt idx="141">
                  <c:v>186.36525541017926</c:v>
                </c:pt>
                <c:pt idx="142">
                  <c:v>188.59525541017928</c:v>
                </c:pt>
                <c:pt idx="143">
                  <c:v>161.20525541017923</c:v>
                </c:pt>
                <c:pt idx="144">
                  <c:v>92.525255410179284</c:v>
                </c:pt>
                <c:pt idx="145">
                  <c:v>92.985255410179263</c:v>
                </c:pt>
                <c:pt idx="146">
                  <c:v>92.185255410179309</c:v>
                </c:pt>
                <c:pt idx="147">
                  <c:v>92.765255410179293</c:v>
                </c:pt>
                <c:pt idx="148">
                  <c:v>93.145255410179288</c:v>
                </c:pt>
                <c:pt idx="149">
                  <c:v>93.585255410179286</c:v>
                </c:pt>
                <c:pt idx="150">
                  <c:v>94.205255410179291</c:v>
                </c:pt>
                <c:pt idx="151">
                  <c:v>95.525255410179284</c:v>
                </c:pt>
                <c:pt idx="152">
                  <c:v>93.585255410179286</c:v>
                </c:pt>
                <c:pt idx="153">
                  <c:v>53.345255410179277</c:v>
                </c:pt>
                <c:pt idx="154">
                  <c:v>9.8152554101792475</c:v>
                </c:pt>
                <c:pt idx="155">
                  <c:v>3.5852554101792862</c:v>
                </c:pt>
                <c:pt idx="156">
                  <c:v>3.5852554101792862</c:v>
                </c:pt>
                <c:pt idx="157">
                  <c:v>3.5852554101792862</c:v>
                </c:pt>
                <c:pt idx="158">
                  <c:v>4.515255410179293</c:v>
                </c:pt>
                <c:pt idx="159">
                  <c:v>4.6052554101793248</c:v>
                </c:pt>
                <c:pt idx="160">
                  <c:v>112.01525541017929</c:v>
                </c:pt>
                <c:pt idx="161">
                  <c:v>7.5552554101792566</c:v>
                </c:pt>
                <c:pt idx="162">
                  <c:v>9.1852554101792521</c:v>
                </c:pt>
                <c:pt idx="163">
                  <c:v>12.465255410179282</c:v>
                </c:pt>
                <c:pt idx="164">
                  <c:v>345.15525541017928</c:v>
                </c:pt>
                <c:pt idx="165">
                  <c:v>282.67525541017926</c:v>
                </c:pt>
                <c:pt idx="166">
                  <c:v>276.12525541017931</c:v>
                </c:pt>
                <c:pt idx="167">
                  <c:v>275.43525541017931</c:v>
                </c:pt>
                <c:pt idx="168">
                  <c:v>275.22525541017927</c:v>
                </c:pt>
                <c:pt idx="169">
                  <c:v>276.52525541017928</c:v>
                </c:pt>
                <c:pt idx="170">
                  <c:v>277.11525541017926</c:v>
                </c:pt>
                <c:pt idx="171">
                  <c:v>277.5052554101793</c:v>
                </c:pt>
                <c:pt idx="172">
                  <c:v>13.045255410179266</c:v>
                </c:pt>
                <c:pt idx="173">
                  <c:v>278.59525541017928</c:v>
                </c:pt>
                <c:pt idx="174">
                  <c:v>279.92525541017926</c:v>
                </c:pt>
                <c:pt idx="175">
                  <c:v>278.9452554101793</c:v>
                </c:pt>
                <c:pt idx="176">
                  <c:v>242.15525541017928</c:v>
                </c:pt>
                <c:pt idx="177">
                  <c:v>194.89525541017929</c:v>
                </c:pt>
                <c:pt idx="178">
                  <c:v>186.52525541017928</c:v>
                </c:pt>
                <c:pt idx="179">
                  <c:v>185.59525541017928</c:v>
                </c:pt>
                <c:pt idx="180">
                  <c:v>184.74525541017931</c:v>
                </c:pt>
                <c:pt idx="181">
                  <c:v>184.54525541017927</c:v>
                </c:pt>
                <c:pt idx="182">
                  <c:v>184.59525541017928</c:v>
                </c:pt>
                <c:pt idx="183">
                  <c:v>184.73525541017926</c:v>
                </c:pt>
                <c:pt idx="184">
                  <c:v>185.5752554101793</c:v>
                </c:pt>
                <c:pt idx="185">
                  <c:v>187.98525541017926</c:v>
                </c:pt>
                <c:pt idx="186">
                  <c:v>192.01525541017929</c:v>
                </c:pt>
                <c:pt idx="187">
                  <c:v>95.175255410179318</c:v>
                </c:pt>
                <c:pt idx="188">
                  <c:v>92.845255410179277</c:v>
                </c:pt>
                <c:pt idx="189">
                  <c:v>92.525255410179284</c:v>
                </c:pt>
                <c:pt idx="190">
                  <c:v>92.685255410179309</c:v>
                </c:pt>
                <c:pt idx="191">
                  <c:v>93.155255410179279</c:v>
                </c:pt>
                <c:pt idx="192">
                  <c:v>93.585255410179286</c:v>
                </c:pt>
                <c:pt idx="193">
                  <c:v>94.115255410179259</c:v>
                </c:pt>
                <c:pt idx="194">
                  <c:v>94.995255410179254</c:v>
                </c:pt>
                <c:pt idx="195">
                  <c:v>95.555255410179313</c:v>
                </c:pt>
                <c:pt idx="196">
                  <c:v>88.615255410179259</c:v>
                </c:pt>
                <c:pt idx="197">
                  <c:v>34.055255410179257</c:v>
                </c:pt>
                <c:pt idx="198">
                  <c:v>6.1852554101792521</c:v>
                </c:pt>
                <c:pt idx="199">
                  <c:v>3.5852554101792862</c:v>
                </c:pt>
                <c:pt idx="200">
                  <c:v>3.5852554101792862</c:v>
                </c:pt>
                <c:pt idx="201">
                  <c:v>4.0352554101792748</c:v>
                </c:pt>
                <c:pt idx="202">
                  <c:v>4.0352554101792748</c:v>
                </c:pt>
                <c:pt idx="203">
                  <c:v>4.6052554101793248</c:v>
                </c:pt>
                <c:pt idx="204">
                  <c:v>120.15525541017928</c:v>
                </c:pt>
                <c:pt idx="205">
                  <c:v>6.9552554101792907</c:v>
                </c:pt>
                <c:pt idx="206">
                  <c:v>9.7852554101792748</c:v>
                </c:pt>
                <c:pt idx="207">
                  <c:v>12.015255410179293</c:v>
                </c:pt>
                <c:pt idx="208">
                  <c:v>329.89525541017929</c:v>
                </c:pt>
                <c:pt idx="209">
                  <c:v>62.625255410179307</c:v>
                </c:pt>
                <c:pt idx="210">
                  <c:v>276.18525541017931</c:v>
                </c:pt>
                <c:pt idx="211">
                  <c:v>275.49525541017931</c:v>
                </c:pt>
                <c:pt idx="212">
                  <c:v>275.24525541017931</c:v>
                </c:pt>
                <c:pt idx="213">
                  <c:v>275.8152554101793</c:v>
                </c:pt>
                <c:pt idx="214">
                  <c:v>276.41525541017927</c:v>
                </c:pt>
                <c:pt idx="215">
                  <c:v>277.39525541017929</c:v>
                </c:pt>
                <c:pt idx="216">
                  <c:v>278.55525541017931</c:v>
                </c:pt>
                <c:pt idx="217">
                  <c:v>279.11525541017926</c:v>
                </c:pt>
                <c:pt idx="218">
                  <c:v>279.0752554101793</c:v>
                </c:pt>
                <c:pt idx="219">
                  <c:v>279.15525541017928</c:v>
                </c:pt>
                <c:pt idx="220">
                  <c:v>271.46525541017928</c:v>
                </c:pt>
                <c:pt idx="221">
                  <c:v>217.27525541017928</c:v>
                </c:pt>
                <c:pt idx="222">
                  <c:v>189.8152554101793</c:v>
                </c:pt>
                <c:pt idx="223">
                  <c:v>185.41525541017927</c:v>
                </c:pt>
                <c:pt idx="224">
                  <c:v>185.37525541017931</c:v>
                </c:pt>
                <c:pt idx="225">
                  <c:v>185.05525541017931</c:v>
                </c:pt>
                <c:pt idx="226">
                  <c:v>184.6352554101793</c:v>
                </c:pt>
                <c:pt idx="227">
                  <c:v>184.76525541017929</c:v>
                </c:pt>
                <c:pt idx="228">
                  <c:v>185.36525541017926</c:v>
                </c:pt>
                <c:pt idx="229">
                  <c:v>185.70525541017929</c:v>
                </c:pt>
                <c:pt idx="230">
                  <c:v>185.99525541017931</c:v>
                </c:pt>
                <c:pt idx="231">
                  <c:v>186.87525541017931</c:v>
                </c:pt>
                <c:pt idx="232">
                  <c:v>186.95525541017929</c:v>
                </c:pt>
                <c:pt idx="233">
                  <c:v>186.04525541017927</c:v>
                </c:pt>
                <c:pt idx="234">
                  <c:v>185.76525541017929</c:v>
                </c:pt>
                <c:pt idx="235">
                  <c:v>185.54525541017927</c:v>
                </c:pt>
                <c:pt idx="236">
                  <c:v>185.28525541017927</c:v>
                </c:pt>
                <c:pt idx="237">
                  <c:v>184.70525541017929</c:v>
                </c:pt>
                <c:pt idx="238">
                  <c:v>184.9452554101793</c:v>
                </c:pt>
                <c:pt idx="239">
                  <c:v>184.90525541017928</c:v>
                </c:pt>
                <c:pt idx="240">
                  <c:v>184.89525541017929</c:v>
                </c:pt>
                <c:pt idx="241">
                  <c:v>184.87525541017931</c:v>
                </c:pt>
                <c:pt idx="242">
                  <c:v>184.85525541017927</c:v>
                </c:pt>
                <c:pt idx="243">
                  <c:v>184.85525541017927</c:v>
                </c:pt>
                <c:pt idx="244">
                  <c:v>184.89525541017929</c:v>
                </c:pt>
                <c:pt idx="245">
                  <c:v>184.59525541017928</c:v>
                </c:pt>
                <c:pt idx="246">
                  <c:v>184.62525541017931</c:v>
                </c:pt>
                <c:pt idx="247">
                  <c:v>184.64525541017929</c:v>
                </c:pt>
                <c:pt idx="248">
                  <c:v>184.64525541017929</c:v>
                </c:pt>
                <c:pt idx="249">
                  <c:v>184.6352554101793</c:v>
                </c:pt>
                <c:pt idx="250">
                  <c:v>184.98525541017926</c:v>
                </c:pt>
                <c:pt idx="251">
                  <c:v>184.62525541017931</c:v>
                </c:pt>
                <c:pt idx="252">
                  <c:v>184.62525541017931</c:v>
                </c:pt>
                <c:pt idx="253">
                  <c:v>184.6352554101793</c:v>
                </c:pt>
                <c:pt idx="254">
                  <c:v>184.6352554101793</c:v>
                </c:pt>
                <c:pt idx="255">
                  <c:v>184.64525541017929</c:v>
                </c:pt>
                <c:pt idx="256">
                  <c:v>184.65525541017928</c:v>
                </c:pt>
                <c:pt idx="257">
                  <c:v>184.65525541017928</c:v>
                </c:pt>
                <c:pt idx="258">
                  <c:v>184.64525541017929</c:v>
                </c:pt>
                <c:pt idx="259">
                  <c:v>184.6352554101793</c:v>
                </c:pt>
                <c:pt idx="260">
                  <c:v>184.65525541017928</c:v>
                </c:pt>
                <c:pt idx="261">
                  <c:v>184.65525541017928</c:v>
                </c:pt>
                <c:pt idx="262">
                  <c:v>184.66525541017927</c:v>
                </c:pt>
                <c:pt idx="263">
                  <c:v>184.66525541017927</c:v>
                </c:pt>
                <c:pt idx="264">
                  <c:v>184.66525541017927</c:v>
                </c:pt>
                <c:pt idx="265">
                  <c:v>184.66525541017927</c:v>
                </c:pt>
                <c:pt idx="266">
                  <c:v>184.66525541017927</c:v>
                </c:pt>
                <c:pt idx="267">
                  <c:v>184.66525541017927</c:v>
                </c:pt>
                <c:pt idx="268">
                  <c:v>184.66525541017927</c:v>
                </c:pt>
                <c:pt idx="269">
                  <c:v>184.66525541017927</c:v>
                </c:pt>
                <c:pt idx="270">
                  <c:v>184.66525541017927</c:v>
                </c:pt>
                <c:pt idx="271">
                  <c:v>184.66525541017927</c:v>
                </c:pt>
                <c:pt idx="272">
                  <c:v>184.65525541017928</c:v>
                </c:pt>
                <c:pt idx="273">
                  <c:v>184.65525541017928</c:v>
                </c:pt>
                <c:pt idx="274">
                  <c:v>184.66525541017927</c:v>
                </c:pt>
                <c:pt idx="275">
                  <c:v>184.66525541017927</c:v>
                </c:pt>
                <c:pt idx="276">
                  <c:v>184.66525541017927</c:v>
                </c:pt>
                <c:pt idx="277">
                  <c:v>184.67525541017926</c:v>
                </c:pt>
                <c:pt idx="278">
                  <c:v>184.67525541017926</c:v>
                </c:pt>
                <c:pt idx="279">
                  <c:v>184.67525541017926</c:v>
                </c:pt>
                <c:pt idx="280">
                  <c:v>184.67525541017926</c:v>
                </c:pt>
                <c:pt idx="281">
                  <c:v>184.67525541017926</c:v>
                </c:pt>
                <c:pt idx="282">
                  <c:v>184.68525541017931</c:v>
                </c:pt>
                <c:pt idx="283">
                  <c:v>184.68525541017931</c:v>
                </c:pt>
                <c:pt idx="284">
                  <c:v>184.6952554101793</c:v>
                </c:pt>
                <c:pt idx="285">
                  <c:v>184.70525541017929</c:v>
                </c:pt>
                <c:pt idx="286">
                  <c:v>184.71525541017928</c:v>
                </c:pt>
                <c:pt idx="287">
                  <c:v>184.73525541017926</c:v>
                </c:pt>
                <c:pt idx="288">
                  <c:v>184.73525541017926</c:v>
                </c:pt>
                <c:pt idx="289">
                  <c:v>184.73525541017926</c:v>
                </c:pt>
                <c:pt idx="290">
                  <c:v>184.74525541017931</c:v>
                </c:pt>
                <c:pt idx="291">
                  <c:v>184.73525541017926</c:v>
                </c:pt>
                <c:pt idx="292">
                  <c:v>184.71525541017928</c:v>
                </c:pt>
                <c:pt idx="293">
                  <c:v>184.70525541017929</c:v>
                </c:pt>
                <c:pt idx="294">
                  <c:v>184.6952554101793</c:v>
                </c:pt>
                <c:pt idx="295">
                  <c:v>184.67525541017926</c:v>
                </c:pt>
                <c:pt idx="296">
                  <c:v>184.66525541017927</c:v>
                </c:pt>
                <c:pt idx="297">
                  <c:v>184.65525541017928</c:v>
                </c:pt>
                <c:pt idx="298">
                  <c:v>184.6352554101793</c:v>
                </c:pt>
                <c:pt idx="299">
                  <c:v>184.64525541017929</c:v>
                </c:pt>
                <c:pt idx="300">
                  <c:v>184.67525541017926</c:v>
                </c:pt>
                <c:pt idx="301">
                  <c:v>185.16525541017927</c:v>
                </c:pt>
                <c:pt idx="302">
                  <c:v>184.93525541017931</c:v>
                </c:pt>
                <c:pt idx="303">
                  <c:v>185.22525541017927</c:v>
                </c:pt>
                <c:pt idx="304">
                  <c:v>185.03525541017927</c:v>
                </c:pt>
                <c:pt idx="305">
                  <c:v>187.16525541017927</c:v>
                </c:pt>
                <c:pt idx="306">
                  <c:v>197.62525541017931</c:v>
                </c:pt>
                <c:pt idx="307">
                  <c:v>273.58525541017929</c:v>
                </c:pt>
                <c:pt idx="308">
                  <c:v>3.5852554101792862</c:v>
                </c:pt>
                <c:pt idx="309">
                  <c:v>183.58525541017934</c:v>
                </c:pt>
                <c:pt idx="310">
                  <c:v>3.5852554101792862</c:v>
                </c:pt>
                <c:pt idx="311">
                  <c:v>3.5852554101792862</c:v>
                </c:pt>
                <c:pt idx="312">
                  <c:v>3.5852554101792862</c:v>
                </c:pt>
                <c:pt idx="313">
                  <c:v>183.58525541017934</c:v>
                </c:pt>
                <c:pt idx="314">
                  <c:v>3.5852554101792862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97-48C0-977D-041EDC618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175392"/>
        <c:axId val="852174312"/>
      </c:scatterChart>
      <c:valAx>
        <c:axId val="85217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174312"/>
        <c:crosses val="autoZero"/>
        <c:crossBetween val="midCat"/>
      </c:valAx>
      <c:valAx>
        <c:axId val="85217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17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16</xdr:row>
      <xdr:rowOff>71437</xdr:rowOff>
    </xdr:from>
    <xdr:to>
      <xdr:col>13</xdr:col>
      <xdr:colOff>152400</xdr:colOff>
      <xdr:row>30</xdr:row>
      <xdr:rowOff>147637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D15CC5-8355-D240-EE10-357395464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209550</xdr:colOff>
      <xdr:row>16</xdr:row>
      <xdr:rowOff>176212</xdr:rowOff>
    </xdr:from>
    <xdr:to>
      <xdr:col>23</xdr:col>
      <xdr:colOff>514350</xdr:colOff>
      <xdr:row>31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44DC08-2ADD-C7F7-8B57-09996B6F6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552450</xdr:colOff>
      <xdr:row>5</xdr:row>
      <xdr:rowOff>128587</xdr:rowOff>
    </xdr:from>
    <xdr:to>
      <xdr:col>8</xdr:col>
      <xdr:colOff>247650</xdr:colOff>
      <xdr:row>20</xdr:row>
      <xdr:rowOff>14287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9311EFA-AE8E-D5AF-B66F-27976A7A5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438150</xdr:colOff>
      <xdr:row>10</xdr:row>
      <xdr:rowOff>161925</xdr:rowOff>
    </xdr:from>
    <xdr:to>
      <xdr:col>25</xdr:col>
      <xdr:colOff>523875</xdr:colOff>
      <xdr:row>36</xdr:row>
      <xdr:rowOff>147637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DD095B5-60C5-AB94-2709-5564D7D35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A429-99B4-4FDF-93DA-315714F4BDFD}">
  <dimension ref="A1:AB316"/>
  <sheetViews>
    <sheetView tabSelected="1" topLeftCell="A7" workbookViewId="0">
      <selection activeCell="E2" sqref="E2"/>
    </sheetView>
  </sheetViews>
  <sheetFormatPr defaultRowHeight="15" x14ac:dyDescent="0.25"/>
  <cols>
    <col min="24" max="24" width="12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17</v>
      </c>
      <c r="N1" t="s">
        <v>9</v>
      </c>
      <c r="O1" t="s">
        <v>10</v>
      </c>
      <c r="Q1" t="s">
        <v>13</v>
      </c>
      <c r="R1" t="s">
        <v>16</v>
      </c>
      <c r="W1" t="s">
        <v>14</v>
      </c>
      <c r="X1" t="s">
        <v>15</v>
      </c>
      <c r="Y1" t="s">
        <v>16</v>
      </c>
      <c r="AA1" t="s">
        <v>18</v>
      </c>
    </row>
    <row r="2" spans="1:28" x14ac:dyDescent="0.25">
      <c r="A2">
        <v>30914</v>
      </c>
      <c r="B2">
        <v>-0.83</v>
      </c>
      <c r="C2">
        <v>-11.55</v>
      </c>
      <c r="D2">
        <v>3.75</v>
      </c>
      <c r="E2">
        <v>357.61</v>
      </c>
      <c r="F2">
        <v>74</v>
      </c>
      <c r="G2">
        <v>1</v>
      </c>
      <c r="H2">
        <v>2</v>
      </c>
      <c r="I2">
        <v>4</v>
      </c>
      <c r="L2">
        <f>(A2-$A$2)/1000</f>
        <v>0</v>
      </c>
      <c r="N2">
        <f>(C2-$U$3)/((MAX(C:C)-MIN(C:C))/2)</f>
        <v>-9.5238095238095233E-2</v>
      </c>
      <c r="O2">
        <f>(D2-$U$4)/((MAX(D:D)-MIN(D:D))/2)</f>
        <v>0.90990990990991005</v>
      </c>
      <c r="Q2">
        <f>ATAN2(-O2,N2)*180/PI()</f>
        <v>-174.02474458982073</v>
      </c>
      <c r="R2">
        <f>IF(Q2&lt;0,Q2+360,Q2)</f>
        <v>185.97525541017927</v>
      </c>
      <c r="X2">
        <f>R2</f>
        <v>185.97525541017927</v>
      </c>
      <c r="Y2">
        <f>MOD((MOD(X2,360)+360),360)</f>
        <v>185.97525541017922</v>
      </c>
      <c r="AA2">
        <f>-E2+$E$2+$R$2</f>
        <v>185.97525541017927</v>
      </c>
      <c r="AB2">
        <f>IF(AA2&gt;360,AA2-360,AA2)</f>
        <v>185.97525541017927</v>
      </c>
    </row>
    <row r="3" spans="1:28" x14ac:dyDescent="0.25">
      <c r="A3">
        <v>31014</v>
      </c>
      <c r="B3">
        <v>0.14000000000000001</v>
      </c>
      <c r="C3">
        <v>-11.7</v>
      </c>
      <c r="D3">
        <v>3.15</v>
      </c>
      <c r="E3">
        <v>357.61</v>
      </c>
      <c r="F3">
        <v>74</v>
      </c>
      <c r="G3">
        <v>1</v>
      </c>
      <c r="H3">
        <v>2</v>
      </c>
      <c r="I3">
        <v>4</v>
      </c>
      <c r="L3">
        <f t="shared" ref="L3:L66" si="0">(A3-$A$2)/1000</f>
        <v>0.1</v>
      </c>
      <c r="N3">
        <f t="shared" ref="N3:N66" si="1">(C3-$U$3)/((MAX(C:C)-MIN(C:C))/2)</f>
        <v>-0.10476190476190467</v>
      </c>
      <c r="O3">
        <f t="shared" ref="O3:O66" si="2">(D3-$U$4)/((MAX(D:D)-MIN(D:D))/2)</f>
        <v>0.87387387387387394</v>
      </c>
      <c r="Q3">
        <f t="shared" ref="Q3:Q66" si="3">ATAN2(-O3,N3)*180/PI()</f>
        <v>-173.16388145858903</v>
      </c>
      <c r="R3">
        <f t="shared" ref="R3:R66" si="4">IF(Q3&lt;0,Q3+360,Q3)</f>
        <v>186.83611854141097</v>
      </c>
      <c r="T3" t="s">
        <v>11</v>
      </c>
      <c r="U3">
        <f>(MAX(C:C)+MIN(C:C))/2</f>
        <v>-10.050000000000001</v>
      </c>
      <c r="W3">
        <f>(A3-A2)/1000</f>
        <v>0.1</v>
      </c>
      <c r="X3">
        <f>X2-B3*W3</f>
        <v>185.96125541017926</v>
      </c>
      <c r="Y3">
        <f t="shared" ref="Y3:Y66" si="5">MOD((MOD(X3,360)+360),360)</f>
        <v>185.96125541017932</v>
      </c>
      <c r="AA3">
        <f t="shared" ref="AA3:AA66" si="6">-E3+$E$2+$R$2</f>
        <v>185.97525541017927</v>
      </c>
      <c r="AB3">
        <f t="shared" ref="AB3:AB66" si="7">IF(AA3&gt;360,AA3-360,AA3)</f>
        <v>185.97525541017927</v>
      </c>
    </row>
    <row r="4" spans="1:28" x14ac:dyDescent="0.25">
      <c r="A4">
        <v>31119</v>
      </c>
      <c r="B4">
        <v>-1.21</v>
      </c>
      <c r="C4">
        <v>-12.45</v>
      </c>
      <c r="D4">
        <v>3.6</v>
      </c>
      <c r="E4">
        <v>357.65</v>
      </c>
      <c r="F4">
        <v>75</v>
      </c>
      <c r="G4">
        <v>1</v>
      </c>
      <c r="H4">
        <v>2</v>
      </c>
      <c r="I4">
        <v>4</v>
      </c>
      <c r="L4">
        <f t="shared" si="0"/>
        <v>0.20499999999999999</v>
      </c>
      <c r="N4">
        <f t="shared" si="1"/>
        <v>-0.15238095238095228</v>
      </c>
      <c r="O4">
        <f t="shared" si="2"/>
        <v>0.90090090090090102</v>
      </c>
      <c r="Q4">
        <f t="shared" si="3"/>
        <v>-170.39969266902801</v>
      </c>
      <c r="R4">
        <f t="shared" si="4"/>
        <v>189.60030733097199</v>
      </c>
      <c r="T4" t="s">
        <v>12</v>
      </c>
      <c r="U4">
        <f>(MAX(D:D)+MIN(D:D))/2</f>
        <v>-11.4</v>
      </c>
      <c r="W4">
        <f t="shared" ref="W4:W67" si="8">(A4-A3)/1000</f>
        <v>0.105</v>
      </c>
      <c r="X4">
        <f t="shared" ref="X4:X67" si="9">X3-B4*W4</f>
        <v>186.08830541017926</v>
      </c>
      <c r="Y4">
        <f t="shared" si="5"/>
        <v>186.08830541017926</v>
      </c>
      <c r="AA4">
        <f t="shared" si="6"/>
        <v>185.93525541017931</v>
      </c>
      <c r="AB4">
        <f t="shared" si="7"/>
        <v>185.93525541017931</v>
      </c>
    </row>
    <row r="5" spans="1:28" x14ac:dyDescent="0.25">
      <c r="A5">
        <v>31232</v>
      </c>
      <c r="B5">
        <v>-0.57999999999999996</v>
      </c>
      <c r="C5">
        <v>-10.8</v>
      </c>
      <c r="D5">
        <v>4.5</v>
      </c>
      <c r="E5">
        <v>357.68</v>
      </c>
      <c r="F5">
        <v>76</v>
      </c>
      <c r="G5">
        <v>1</v>
      </c>
      <c r="H5">
        <v>2</v>
      </c>
      <c r="I5">
        <v>4</v>
      </c>
      <c r="L5">
        <f t="shared" si="0"/>
        <v>0.318</v>
      </c>
      <c r="N5">
        <f t="shared" si="1"/>
        <v>-4.7619047619047616E-2</v>
      </c>
      <c r="O5">
        <f t="shared" si="2"/>
        <v>0.95495495495495508</v>
      </c>
      <c r="Q5">
        <f t="shared" si="3"/>
        <v>-177.14529737241858</v>
      </c>
      <c r="R5">
        <f t="shared" si="4"/>
        <v>182.85470262758142</v>
      </c>
      <c r="W5">
        <f t="shared" si="8"/>
        <v>0.113</v>
      </c>
      <c r="X5">
        <f t="shared" si="9"/>
        <v>186.15384541017926</v>
      </c>
      <c r="Y5">
        <f t="shared" si="5"/>
        <v>186.1538454101792</v>
      </c>
      <c r="AA5">
        <f t="shared" si="6"/>
        <v>185.90525541017928</v>
      </c>
      <c r="AB5">
        <f t="shared" si="7"/>
        <v>185.90525541017928</v>
      </c>
    </row>
    <row r="6" spans="1:28" x14ac:dyDescent="0.25">
      <c r="A6">
        <v>31346</v>
      </c>
      <c r="B6">
        <v>0.06</v>
      </c>
      <c r="C6">
        <v>-11.1</v>
      </c>
      <c r="D6">
        <v>3.45</v>
      </c>
      <c r="E6">
        <v>357.74</v>
      </c>
      <c r="F6">
        <v>77</v>
      </c>
      <c r="G6">
        <v>1</v>
      </c>
      <c r="H6">
        <v>1</v>
      </c>
      <c r="I6">
        <v>4</v>
      </c>
      <c r="L6">
        <f t="shared" si="0"/>
        <v>0.432</v>
      </c>
      <c r="N6">
        <f t="shared" si="1"/>
        <v>-6.6666666666666596E-2</v>
      </c>
      <c r="O6">
        <f t="shared" si="2"/>
        <v>0.89189189189189211</v>
      </c>
      <c r="Q6">
        <f t="shared" si="3"/>
        <v>-175.72523464222934</v>
      </c>
      <c r="R6">
        <f t="shared" si="4"/>
        <v>184.27476535777066</v>
      </c>
      <c r="W6">
        <f t="shared" si="8"/>
        <v>0.114</v>
      </c>
      <c r="X6">
        <f t="shared" si="9"/>
        <v>186.14700541017925</v>
      </c>
      <c r="Y6">
        <f t="shared" si="5"/>
        <v>186.14700541017919</v>
      </c>
      <c r="AA6">
        <f t="shared" si="6"/>
        <v>185.84525541017928</v>
      </c>
      <c r="AB6">
        <f t="shared" si="7"/>
        <v>185.84525541017928</v>
      </c>
    </row>
    <row r="7" spans="1:28" x14ac:dyDescent="0.25">
      <c r="A7">
        <v>31458</v>
      </c>
      <c r="B7">
        <v>0.33</v>
      </c>
      <c r="C7">
        <v>-11.55</v>
      </c>
      <c r="D7">
        <v>2.7</v>
      </c>
      <c r="E7">
        <v>357.77</v>
      </c>
      <c r="F7">
        <v>78</v>
      </c>
      <c r="G7">
        <v>1</v>
      </c>
      <c r="H7">
        <v>1</v>
      </c>
      <c r="I7">
        <v>4</v>
      </c>
      <c r="L7">
        <f t="shared" si="0"/>
        <v>0.54400000000000004</v>
      </c>
      <c r="N7">
        <f t="shared" si="1"/>
        <v>-9.5238095238095233E-2</v>
      </c>
      <c r="O7">
        <f t="shared" si="2"/>
        <v>0.84684684684684697</v>
      </c>
      <c r="Q7">
        <f t="shared" si="3"/>
        <v>-173.58336296320985</v>
      </c>
      <c r="R7">
        <f t="shared" si="4"/>
        <v>186.41663703679015</v>
      </c>
      <c r="W7">
        <f t="shared" si="8"/>
        <v>0.112</v>
      </c>
      <c r="X7">
        <f t="shared" si="9"/>
        <v>186.11004541017925</v>
      </c>
      <c r="Y7">
        <f t="shared" si="5"/>
        <v>186.11004541017928</v>
      </c>
      <c r="AA7">
        <f t="shared" si="6"/>
        <v>185.8152554101793</v>
      </c>
      <c r="AB7">
        <f t="shared" si="7"/>
        <v>185.8152554101793</v>
      </c>
    </row>
    <row r="8" spans="1:28" x14ac:dyDescent="0.25">
      <c r="A8">
        <v>31571</v>
      </c>
      <c r="B8">
        <v>0.11</v>
      </c>
      <c r="C8">
        <v>-12.15</v>
      </c>
      <c r="D8">
        <v>3.75</v>
      </c>
      <c r="E8">
        <v>357.8</v>
      </c>
      <c r="F8">
        <v>79</v>
      </c>
      <c r="G8">
        <v>1</v>
      </c>
      <c r="H8">
        <v>1</v>
      </c>
      <c r="I8">
        <v>4</v>
      </c>
      <c r="L8">
        <f t="shared" si="0"/>
        <v>0.65700000000000003</v>
      </c>
      <c r="N8">
        <f t="shared" si="1"/>
        <v>-0.1333333333333333</v>
      </c>
      <c r="O8">
        <f t="shared" si="2"/>
        <v>0.90990990990991005</v>
      </c>
      <c r="Q8">
        <f t="shared" si="3"/>
        <v>-171.66351307610211</v>
      </c>
      <c r="R8">
        <f t="shared" si="4"/>
        <v>188.33648692389789</v>
      </c>
      <c r="W8">
        <f t="shared" si="8"/>
        <v>0.113</v>
      </c>
      <c r="X8">
        <f t="shared" si="9"/>
        <v>186.09761541017926</v>
      </c>
      <c r="Y8">
        <f t="shared" si="5"/>
        <v>186.09761541017929</v>
      </c>
      <c r="AA8">
        <f t="shared" si="6"/>
        <v>185.78525541017927</v>
      </c>
      <c r="AB8">
        <f t="shared" si="7"/>
        <v>185.78525541017927</v>
      </c>
    </row>
    <row r="9" spans="1:28" x14ac:dyDescent="0.25">
      <c r="A9">
        <v>31683</v>
      </c>
      <c r="B9">
        <v>-2.4</v>
      </c>
      <c r="C9">
        <v>-11.55</v>
      </c>
      <c r="D9">
        <v>4.8</v>
      </c>
      <c r="E9">
        <v>357.83</v>
      </c>
      <c r="F9">
        <v>80</v>
      </c>
      <c r="G9">
        <v>1</v>
      </c>
      <c r="H9">
        <v>1</v>
      </c>
      <c r="I9">
        <v>4</v>
      </c>
      <c r="L9">
        <f t="shared" si="0"/>
        <v>0.76900000000000002</v>
      </c>
      <c r="N9">
        <f t="shared" si="1"/>
        <v>-9.5238095238095233E-2</v>
      </c>
      <c r="O9">
        <f t="shared" si="2"/>
        <v>0.97297297297297303</v>
      </c>
      <c r="Q9">
        <f t="shared" si="3"/>
        <v>-174.40949215591007</v>
      </c>
      <c r="R9">
        <f t="shared" si="4"/>
        <v>185.59050784408993</v>
      </c>
      <c r="W9">
        <f t="shared" si="8"/>
        <v>0.112</v>
      </c>
      <c r="X9">
        <f t="shared" si="9"/>
        <v>186.36641541017926</v>
      </c>
      <c r="Y9">
        <f t="shared" si="5"/>
        <v>186.36641541017923</v>
      </c>
      <c r="AA9">
        <f t="shared" si="6"/>
        <v>185.7552554101793</v>
      </c>
      <c r="AB9">
        <f t="shared" si="7"/>
        <v>185.7552554101793</v>
      </c>
    </row>
    <row r="10" spans="1:28" x14ac:dyDescent="0.25">
      <c r="A10">
        <v>31797</v>
      </c>
      <c r="B10">
        <v>1.47</v>
      </c>
      <c r="C10">
        <v>-10.5</v>
      </c>
      <c r="D10">
        <v>4.5</v>
      </c>
      <c r="E10">
        <v>357.8</v>
      </c>
      <c r="F10">
        <v>80</v>
      </c>
      <c r="G10">
        <v>1</v>
      </c>
      <c r="H10">
        <v>2</v>
      </c>
      <c r="I10">
        <v>4</v>
      </c>
      <c r="L10">
        <f t="shared" si="0"/>
        <v>0.88300000000000001</v>
      </c>
      <c r="N10">
        <f t="shared" si="1"/>
        <v>-2.8571428571428525E-2</v>
      </c>
      <c r="O10">
        <f t="shared" si="2"/>
        <v>0.95495495495495508</v>
      </c>
      <c r="Q10">
        <f t="shared" si="3"/>
        <v>-178.28627092543061</v>
      </c>
      <c r="R10">
        <f t="shared" si="4"/>
        <v>181.71372907456939</v>
      </c>
      <c r="W10">
        <f t="shared" si="8"/>
        <v>0.114</v>
      </c>
      <c r="X10">
        <f t="shared" si="9"/>
        <v>186.19883541017927</v>
      </c>
      <c r="Y10">
        <f t="shared" si="5"/>
        <v>186.1988354101793</v>
      </c>
      <c r="AA10">
        <f t="shared" si="6"/>
        <v>185.78525541017927</v>
      </c>
      <c r="AB10">
        <f t="shared" si="7"/>
        <v>185.78525541017927</v>
      </c>
    </row>
    <row r="11" spans="1:28" x14ac:dyDescent="0.25">
      <c r="A11">
        <v>31909</v>
      </c>
      <c r="B11">
        <v>2.14</v>
      </c>
      <c r="C11">
        <v>-12.45</v>
      </c>
      <c r="D11">
        <v>3.9</v>
      </c>
      <c r="E11">
        <v>357.83</v>
      </c>
      <c r="F11">
        <v>81</v>
      </c>
      <c r="G11">
        <v>1</v>
      </c>
      <c r="H11">
        <v>2</v>
      </c>
      <c r="I11">
        <v>4</v>
      </c>
      <c r="L11">
        <f t="shared" si="0"/>
        <v>0.995</v>
      </c>
      <c r="N11">
        <f t="shared" si="1"/>
        <v>-0.15238095238095228</v>
      </c>
      <c r="O11">
        <f t="shared" si="2"/>
        <v>0.91891891891891908</v>
      </c>
      <c r="Q11">
        <f t="shared" si="3"/>
        <v>-170.58453059050956</v>
      </c>
      <c r="R11">
        <f t="shared" si="4"/>
        <v>189.41546940949044</v>
      </c>
      <c r="W11">
        <f t="shared" si="8"/>
        <v>0.112</v>
      </c>
      <c r="X11">
        <f t="shared" si="9"/>
        <v>185.95915541017928</v>
      </c>
      <c r="Y11">
        <f t="shared" si="5"/>
        <v>185.95915541017928</v>
      </c>
      <c r="AA11">
        <f t="shared" si="6"/>
        <v>185.7552554101793</v>
      </c>
      <c r="AB11">
        <f t="shared" si="7"/>
        <v>185.7552554101793</v>
      </c>
    </row>
    <row r="12" spans="1:28" x14ac:dyDescent="0.25">
      <c r="A12">
        <v>32022</v>
      </c>
      <c r="B12">
        <v>-0.66</v>
      </c>
      <c r="C12">
        <v>-11.55</v>
      </c>
      <c r="D12">
        <v>4.2</v>
      </c>
      <c r="E12">
        <v>357.93</v>
      </c>
      <c r="F12">
        <v>85</v>
      </c>
      <c r="G12">
        <v>1</v>
      </c>
      <c r="H12">
        <v>2</v>
      </c>
      <c r="I12">
        <v>4</v>
      </c>
      <c r="L12">
        <f t="shared" si="0"/>
        <v>1.1080000000000001</v>
      </c>
      <c r="N12">
        <f t="shared" si="1"/>
        <v>-9.5238095238095233E-2</v>
      </c>
      <c r="O12">
        <f t="shared" si="2"/>
        <v>0.93693693693693714</v>
      </c>
      <c r="Q12">
        <f t="shared" si="3"/>
        <v>-174.19591369634293</v>
      </c>
      <c r="R12">
        <f t="shared" si="4"/>
        <v>185.80408630365707</v>
      </c>
      <c r="W12">
        <f t="shared" si="8"/>
        <v>0.113</v>
      </c>
      <c r="X12">
        <f t="shared" si="9"/>
        <v>186.03373541017928</v>
      </c>
      <c r="Y12">
        <f t="shared" si="5"/>
        <v>186.03373541017925</v>
      </c>
      <c r="AA12">
        <f t="shared" si="6"/>
        <v>185.65525541017928</v>
      </c>
      <c r="AB12">
        <f t="shared" si="7"/>
        <v>185.65525541017928</v>
      </c>
    </row>
    <row r="13" spans="1:28" x14ac:dyDescent="0.25">
      <c r="A13">
        <v>32135</v>
      </c>
      <c r="B13">
        <v>0.11</v>
      </c>
      <c r="C13">
        <v>-12.45</v>
      </c>
      <c r="D13">
        <v>3.15</v>
      </c>
      <c r="E13">
        <v>358.03</v>
      </c>
      <c r="F13">
        <v>89</v>
      </c>
      <c r="G13">
        <v>1</v>
      </c>
      <c r="H13">
        <v>2</v>
      </c>
      <c r="I13">
        <v>4</v>
      </c>
      <c r="L13">
        <f t="shared" si="0"/>
        <v>1.2210000000000001</v>
      </c>
      <c r="N13">
        <f t="shared" si="1"/>
        <v>-0.15238095238095228</v>
      </c>
      <c r="O13">
        <f t="shared" si="2"/>
        <v>0.87387387387387394</v>
      </c>
      <c r="Q13">
        <f t="shared" si="3"/>
        <v>-170.10855513260202</v>
      </c>
      <c r="R13">
        <f t="shared" si="4"/>
        <v>189.89144486739798</v>
      </c>
      <c r="W13">
        <f t="shared" si="8"/>
        <v>0.113</v>
      </c>
      <c r="X13">
        <f t="shared" si="9"/>
        <v>186.02130541017928</v>
      </c>
      <c r="Y13">
        <f t="shared" si="5"/>
        <v>186.02130541017925</v>
      </c>
      <c r="AA13">
        <f t="shared" si="6"/>
        <v>185.55525541017931</v>
      </c>
      <c r="AB13">
        <f t="shared" si="7"/>
        <v>185.55525541017931</v>
      </c>
    </row>
    <row r="14" spans="1:28" x14ac:dyDescent="0.25">
      <c r="A14">
        <v>32248</v>
      </c>
      <c r="B14">
        <v>0.94</v>
      </c>
      <c r="C14">
        <v>-11.1</v>
      </c>
      <c r="D14">
        <v>3.45</v>
      </c>
      <c r="E14">
        <v>358.05</v>
      </c>
      <c r="F14">
        <v>90</v>
      </c>
      <c r="G14">
        <v>1</v>
      </c>
      <c r="H14">
        <v>2</v>
      </c>
      <c r="I14">
        <v>4</v>
      </c>
      <c r="L14">
        <f t="shared" si="0"/>
        <v>1.3340000000000001</v>
      </c>
      <c r="N14">
        <f t="shared" si="1"/>
        <v>-6.6666666666666596E-2</v>
      </c>
      <c r="O14">
        <f t="shared" si="2"/>
        <v>0.89189189189189211</v>
      </c>
      <c r="Q14">
        <f t="shared" si="3"/>
        <v>-175.72523464222934</v>
      </c>
      <c r="R14">
        <f t="shared" si="4"/>
        <v>184.27476535777066</v>
      </c>
      <c r="W14">
        <f t="shared" si="8"/>
        <v>0.113</v>
      </c>
      <c r="X14">
        <f t="shared" si="9"/>
        <v>185.91508541017927</v>
      </c>
      <c r="Y14">
        <f t="shared" si="5"/>
        <v>185.91508541017924</v>
      </c>
      <c r="AA14">
        <f t="shared" si="6"/>
        <v>185.53525541017927</v>
      </c>
      <c r="AB14">
        <f t="shared" si="7"/>
        <v>185.53525541017927</v>
      </c>
    </row>
    <row r="15" spans="1:28" x14ac:dyDescent="0.25">
      <c r="A15">
        <v>32360</v>
      </c>
      <c r="B15">
        <v>-2.2400000000000002</v>
      </c>
      <c r="C15">
        <v>-12</v>
      </c>
      <c r="D15">
        <v>2.1</v>
      </c>
      <c r="E15">
        <v>358.03</v>
      </c>
      <c r="F15">
        <v>89</v>
      </c>
      <c r="G15">
        <v>1</v>
      </c>
      <c r="H15">
        <v>2</v>
      </c>
      <c r="I15">
        <v>4</v>
      </c>
      <c r="L15">
        <f t="shared" si="0"/>
        <v>1.446</v>
      </c>
      <c r="N15">
        <f t="shared" si="1"/>
        <v>-0.12380952380952376</v>
      </c>
      <c r="O15">
        <f t="shared" si="2"/>
        <v>0.81081081081081086</v>
      </c>
      <c r="Q15">
        <f t="shared" si="3"/>
        <v>-171.31808903798671</v>
      </c>
      <c r="R15">
        <f t="shared" si="4"/>
        <v>188.68191096201329</v>
      </c>
      <c r="W15">
        <f t="shared" si="8"/>
        <v>0.112</v>
      </c>
      <c r="X15">
        <f t="shared" si="9"/>
        <v>186.16596541017927</v>
      </c>
      <c r="Y15">
        <f t="shared" si="5"/>
        <v>186.1659654101793</v>
      </c>
      <c r="AA15">
        <f t="shared" si="6"/>
        <v>185.55525541017931</v>
      </c>
      <c r="AB15">
        <f t="shared" si="7"/>
        <v>185.55525541017931</v>
      </c>
    </row>
    <row r="16" spans="1:28" x14ac:dyDescent="0.25">
      <c r="A16">
        <v>32474</v>
      </c>
      <c r="B16">
        <v>-0.74</v>
      </c>
      <c r="C16">
        <v>-11.1</v>
      </c>
      <c r="D16">
        <v>3.75</v>
      </c>
      <c r="E16">
        <v>358.09</v>
      </c>
      <c r="F16">
        <v>92</v>
      </c>
      <c r="G16">
        <v>1</v>
      </c>
      <c r="H16">
        <v>2</v>
      </c>
      <c r="I16">
        <v>4</v>
      </c>
      <c r="L16">
        <f t="shared" si="0"/>
        <v>1.56</v>
      </c>
      <c r="N16">
        <f t="shared" si="1"/>
        <v>-6.6666666666666596E-2</v>
      </c>
      <c r="O16">
        <f t="shared" si="2"/>
        <v>0.90990990990991005</v>
      </c>
      <c r="Q16">
        <f t="shared" si="3"/>
        <v>-175.80957889992612</v>
      </c>
      <c r="R16">
        <f t="shared" si="4"/>
        <v>184.19042110007388</v>
      </c>
      <c r="W16">
        <f t="shared" si="8"/>
        <v>0.114</v>
      </c>
      <c r="X16">
        <f t="shared" si="9"/>
        <v>186.25032541017927</v>
      </c>
      <c r="Y16">
        <f t="shared" si="5"/>
        <v>186.25032541017924</v>
      </c>
      <c r="AA16">
        <f t="shared" si="6"/>
        <v>185.49525541017931</v>
      </c>
      <c r="AB16">
        <f t="shared" si="7"/>
        <v>185.49525541017931</v>
      </c>
    </row>
    <row r="17" spans="1:28" x14ac:dyDescent="0.25">
      <c r="A17">
        <v>32587</v>
      </c>
      <c r="B17">
        <v>0.82</v>
      </c>
      <c r="C17">
        <v>-11.7</v>
      </c>
      <c r="D17">
        <v>2.85</v>
      </c>
      <c r="E17">
        <v>358.11</v>
      </c>
      <c r="F17">
        <v>93</v>
      </c>
      <c r="G17">
        <v>1</v>
      </c>
      <c r="H17">
        <v>2</v>
      </c>
      <c r="I17">
        <v>4</v>
      </c>
      <c r="L17">
        <f t="shared" si="0"/>
        <v>1.673</v>
      </c>
      <c r="N17">
        <f t="shared" si="1"/>
        <v>-0.10476190476190467</v>
      </c>
      <c r="O17">
        <f t="shared" si="2"/>
        <v>0.85585585585585588</v>
      </c>
      <c r="Q17">
        <f t="shared" si="3"/>
        <v>-173.02136792867458</v>
      </c>
      <c r="R17">
        <f t="shared" si="4"/>
        <v>186.97863207132542</v>
      </c>
      <c r="W17">
        <f t="shared" si="8"/>
        <v>0.113</v>
      </c>
      <c r="X17">
        <f t="shared" si="9"/>
        <v>186.15766541017928</v>
      </c>
      <c r="Y17">
        <f t="shared" si="5"/>
        <v>186.15766541017933</v>
      </c>
      <c r="AA17">
        <f t="shared" si="6"/>
        <v>185.47525541017927</v>
      </c>
      <c r="AB17">
        <f t="shared" si="7"/>
        <v>185.47525541017927</v>
      </c>
    </row>
    <row r="18" spans="1:28" x14ac:dyDescent="0.25">
      <c r="A18">
        <v>32700</v>
      </c>
      <c r="B18">
        <v>-0.47</v>
      </c>
      <c r="C18">
        <v>-10.95</v>
      </c>
      <c r="D18">
        <v>2.85</v>
      </c>
      <c r="E18">
        <v>358.13</v>
      </c>
      <c r="F18">
        <v>94</v>
      </c>
      <c r="G18">
        <v>1</v>
      </c>
      <c r="H18">
        <v>2</v>
      </c>
      <c r="I18">
        <v>4</v>
      </c>
      <c r="L18">
        <f t="shared" si="0"/>
        <v>1.786</v>
      </c>
      <c r="N18">
        <f t="shared" si="1"/>
        <v>-5.7142857142857051E-2</v>
      </c>
      <c r="O18">
        <f t="shared" si="2"/>
        <v>0.85585585585585588</v>
      </c>
      <c r="Q18">
        <f t="shared" si="3"/>
        <v>-176.18020668163646</v>
      </c>
      <c r="R18">
        <f t="shared" si="4"/>
        <v>183.81979331836354</v>
      </c>
      <c r="W18">
        <f t="shared" si="8"/>
        <v>0.113</v>
      </c>
      <c r="X18">
        <f t="shared" si="9"/>
        <v>186.21077541017928</v>
      </c>
      <c r="Y18">
        <f t="shared" si="5"/>
        <v>186.21077541017928</v>
      </c>
      <c r="AA18">
        <f t="shared" si="6"/>
        <v>185.45525541017929</v>
      </c>
      <c r="AB18">
        <f t="shared" si="7"/>
        <v>185.45525541017929</v>
      </c>
    </row>
    <row r="19" spans="1:28" x14ac:dyDescent="0.25">
      <c r="A19">
        <v>32813</v>
      </c>
      <c r="B19">
        <v>-0.79</v>
      </c>
      <c r="C19">
        <v>-11.4</v>
      </c>
      <c r="D19">
        <v>3.9</v>
      </c>
      <c r="E19">
        <v>358.79</v>
      </c>
      <c r="F19">
        <v>97</v>
      </c>
      <c r="G19">
        <v>1</v>
      </c>
      <c r="H19">
        <v>2</v>
      </c>
      <c r="I19">
        <v>3</v>
      </c>
      <c r="L19">
        <f t="shared" si="0"/>
        <v>1.899</v>
      </c>
      <c r="N19">
        <f t="shared" si="1"/>
        <v>-8.5714285714285687E-2</v>
      </c>
      <c r="O19">
        <f t="shared" si="2"/>
        <v>0.91891891891891908</v>
      </c>
      <c r="Q19">
        <f t="shared" si="3"/>
        <v>-174.67102326255576</v>
      </c>
      <c r="R19">
        <f t="shared" si="4"/>
        <v>185.32897673744424</v>
      </c>
      <c r="W19">
        <f t="shared" si="8"/>
        <v>0.113</v>
      </c>
      <c r="X19">
        <f t="shared" si="9"/>
        <v>186.30004541017928</v>
      </c>
      <c r="Y19">
        <f t="shared" si="5"/>
        <v>186.30004541017934</v>
      </c>
      <c r="AA19">
        <f t="shared" si="6"/>
        <v>184.79525541017927</v>
      </c>
      <c r="AB19">
        <f t="shared" si="7"/>
        <v>184.79525541017927</v>
      </c>
    </row>
    <row r="20" spans="1:28" x14ac:dyDescent="0.25">
      <c r="A20">
        <v>32927</v>
      </c>
      <c r="B20">
        <v>0.18</v>
      </c>
      <c r="C20">
        <v>-12.75</v>
      </c>
      <c r="D20">
        <v>3.6</v>
      </c>
      <c r="E20">
        <v>358.81</v>
      </c>
      <c r="F20">
        <v>98</v>
      </c>
      <c r="G20">
        <v>1</v>
      </c>
      <c r="H20">
        <v>2</v>
      </c>
      <c r="I20">
        <v>3</v>
      </c>
      <c r="L20">
        <f t="shared" si="0"/>
        <v>2.0129999999999999</v>
      </c>
      <c r="N20">
        <f t="shared" si="1"/>
        <v>-0.17142857142857137</v>
      </c>
      <c r="O20">
        <f t="shared" si="2"/>
        <v>0.90090090090090102</v>
      </c>
      <c r="Q20">
        <f t="shared" si="3"/>
        <v>-169.22623389159065</v>
      </c>
      <c r="R20">
        <f t="shared" si="4"/>
        <v>190.77376610840935</v>
      </c>
      <c r="W20">
        <f t="shared" si="8"/>
        <v>0.114</v>
      </c>
      <c r="X20">
        <f t="shared" si="9"/>
        <v>186.27952541017928</v>
      </c>
      <c r="Y20">
        <f t="shared" si="5"/>
        <v>186.2795254101793</v>
      </c>
      <c r="AA20">
        <f t="shared" si="6"/>
        <v>184.77525541017928</v>
      </c>
      <c r="AB20">
        <f t="shared" si="7"/>
        <v>184.77525541017928</v>
      </c>
    </row>
    <row r="21" spans="1:28" x14ac:dyDescent="0.25">
      <c r="A21">
        <v>33039</v>
      </c>
      <c r="B21">
        <v>1.1000000000000001</v>
      </c>
      <c r="C21">
        <v>-11.1</v>
      </c>
      <c r="D21">
        <v>4.2</v>
      </c>
      <c r="E21">
        <v>358.19</v>
      </c>
      <c r="F21">
        <v>98</v>
      </c>
      <c r="G21">
        <v>1</v>
      </c>
      <c r="H21">
        <v>3</v>
      </c>
      <c r="I21">
        <v>4</v>
      </c>
      <c r="L21">
        <f t="shared" si="0"/>
        <v>2.125</v>
      </c>
      <c r="N21">
        <f t="shared" si="1"/>
        <v>-6.6666666666666596E-2</v>
      </c>
      <c r="O21">
        <f t="shared" si="2"/>
        <v>0.93693693693693714</v>
      </c>
      <c r="Q21">
        <f t="shared" si="3"/>
        <v>-175.93004422264539</v>
      </c>
      <c r="R21">
        <f t="shared" si="4"/>
        <v>184.06995577735461</v>
      </c>
      <c r="W21">
        <f t="shared" si="8"/>
        <v>0.112</v>
      </c>
      <c r="X21">
        <f t="shared" si="9"/>
        <v>186.15632541017928</v>
      </c>
      <c r="Y21">
        <f t="shared" si="5"/>
        <v>186.15632541017931</v>
      </c>
      <c r="AA21">
        <f t="shared" si="6"/>
        <v>185.39525541017929</v>
      </c>
      <c r="AB21">
        <f t="shared" si="7"/>
        <v>185.39525541017929</v>
      </c>
    </row>
    <row r="22" spans="1:28" x14ac:dyDescent="0.25">
      <c r="A22">
        <v>33152</v>
      </c>
      <c r="B22">
        <v>-0.22</v>
      </c>
      <c r="C22">
        <v>-11.55</v>
      </c>
      <c r="D22">
        <v>3.75</v>
      </c>
      <c r="E22">
        <v>358.19</v>
      </c>
      <c r="F22">
        <v>98</v>
      </c>
      <c r="G22">
        <v>1</v>
      </c>
      <c r="H22">
        <v>3</v>
      </c>
      <c r="I22">
        <v>4</v>
      </c>
      <c r="L22">
        <f t="shared" si="0"/>
        <v>2.238</v>
      </c>
      <c r="N22">
        <f t="shared" si="1"/>
        <v>-9.5238095238095233E-2</v>
      </c>
      <c r="O22">
        <f t="shared" si="2"/>
        <v>0.90990990990991005</v>
      </c>
      <c r="Q22">
        <f t="shared" si="3"/>
        <v>-174.02474458982073</v>
      </c>
      <c r="R22">
        <f t="shared" si="4"/>
        <v>185.97525541017927</v>
      </c>
      <c r="W22">
        <f t="shared" si="8"/>
        <v>0.113</v>
      </c>
      <c r="X22">
        <f t="shared" si="9"/>
        <v>186.18118541017927</v>
      </c>
      <c r="Y22">
        <f t="shared" si="5"/>
        <v>186.1811854101793</v>
      </c>
      <c r="AA22">
        <f t="shared" si="6"/>
        <v>185.39525541017929</v>
      </c>
      <c r="AB22">
        <f t="shared" si="7"/>
        <v>185.39525541017929</v>
      </c>
    </row>
    <row r="23" spans="1:28" x14ac:dyDescent="0.25">
      <c r="A23">
        <v>33265</v>
      </c>
      <c r="B23">
        <v>-1.49</v>
      </c>
      <c r="C23">
        <v>-11.55</v>
      </c>
      <c r="D23">
        <v>4.5</v>
      </c>
      <c r="E23">
        <v>358.21</v>
      </c>
      <c r="F23">
        <v>99</v>
      </c>
      <c r="G23">
        <v>1</v>
      </c>
      <c r="H23">
        <v>3</v>
      </c>
      <c r="I23">
        <v>4</v>
      </c>
      <c r="L23">
        <f t="shared" si="0"/>
        <v>2.351</v>
      </c>
      <c r="N23">
        <f t="shared" si="1"/>
        <v>-9.5238095238095233E-2</v>
      </c>
      <c r="O23">
        <f t="shared" si="2"/>
        <v>0.95495495495495508</v>
      </c>
      <c r="Q23">
        <f t="shared" si="3"/>
        <v>-174.30469796956007</v>
      </c>
      <c r="R23">
        <f t="shared" si="4"/>
        <v>185.69530203043993</v>
      </c>
      <c r="W23">
        <f t="shared" si="8"/>
        <v>0.113</v>
      </c>
      <c r="X23">
        <f t="shared" si="9"/>
        <v>186.34955541017928</v>
      </c>
      <c r="Y23">
        <f t="shared" si="5"/>
        <v>186.34955541017928</v>
      </c>
      <c r="AA23">
        <f t="shared" si="6"/>
        <v>185.37525541017931</v>
      </c>
      <c r="AB23">
        <f t="shared" si="7"/>
        <v>185.37525541017931</v>
      </c>
    </row>
    <row r="24" spans="1:28" x14ac:dyDescent="0.25">
      <c r="A24">
        <v>33379</v>
      </c>
      <c r="B24">
        <v>-2.13</v>
      </c>
      <c r="C24">
        <v>-11.55</v>
      </c>
      <c r="D24">
        <v>3</v>
      </c>
      <c r="E24">
        <v>358.25</v>
      </c>
      <c r="F24">
        <v>101</v>
      </c>
      <c r="G24">
        <v>1</v>
      </c>
      <c r="H24">
        <v>3</v>
      </c>
      <c r="I24">
        <v>4</v>
      </c>
      <c r="L24">
        <f t="shared" si="0"/>
        <v>2.4649999999999999</v>
      </c>
      <c r="N24">
        <f t="shared" si="1"/>
        <v>-9.5238095238095233E-2</v>
      </c>
      <c r="O24">
        <f t="shared" si="2"/>
        <v>0.86486486486486491</v>
      </c>
      <c r="Q24">
        <f t="shared" si="3"/>
        <v>-173.71596221799217</v>
      </c>
      <c r="R24">
        <f t="shared" si="4"/>
        <v>186.28403778200783</v>
      </c>
      <c r="W24">
        <f t="shared" si="8"/>
        <v>0.114</v>
      </c>
      <c r="X24">
        <f t="shared" si="9"/>
        <v>186.59237541017927</v>
      </c>
      <c r="Y24">
        <f t="shared" si="5"/>
        <v>186.59237541017933</v>
      </c>
      <c r="AA24">
        <f t="shared" si="6"/>
        <v>185.33525541017929</v>
      </c>
      <c r="AB24">
        <f t="shared" si="7"/>
        <v>185.33525541017929</v>
      </c>
    </row>
    <row r="25" spans="1:28" x14ac:dyDescent="0.25">
      <c r="A25">
        <v>33494</v>
      </c>
      <c r="B25">
        <v>-2.0499999999999998</v>
      </c>
      <c r="C25">
        <v>-11.7</v>
      </c>
      <c r="D25">
        <v>4.3499999999999996</v>
      </c>
      <c r="E25">
        <v>358.26</v>
      </c>
      <c r="F25">
        <v>102</v>
      </c>
      <c r="G25">
        <v>1</v>
      </c>
      <c r="H25">
        <v>3</v>
      </c>
      <c r="I25">
        <v>4</v>
      </c>
      <c r="L25">
        <f t="shared" si="0"/>
        <v>2.58</v>
      </c>
      <c r="N25">
        <f t="shared" si="1"/>
        <v>-0.10476190476190467</v>
      </c>
      <c r="O25">
        <f t="shared" si="2"/>
        <v>0.94594594594594605</v>
      </c>
      <c r="Q25">
        <f t="shared" si="3"/>
        <v>-173.68034314820389</v>
      </c>
      <c r="R25">
        <f t="shared" si="4"/>
        <v>186.31965685179611</v>
      </c>
      <c r="W25">
        <f t="shared" si="8"/>
        <v>0.115</v>
      </c>
      <c r="X25">
        <f t="shared" si="9"/>
        <v>186.82812541017927</v>
      </c>
      <c r="Y25">
        <f t="shared" si="5"/>
        <v>186.82812541017927</v>
      </c>
      <c r="AA25">
        <f t="shared" si="6"/>
        <v>185.3252554101793</v>
      </c>
      <c r="AB25">
        <f t="shared" si="7"/>
        <v>185.3252554101793</v>
      </c>
    </row>
    <row r="26" spans="1:28" x14ac:dyDescent="0.25">
      <c r="A26">
        <v>33608</v>
      </c>
      <c r="B26">
        <v>0.99</v>
      </c>
      <c r="C26">
        <v>-11.1</v>
      </c>
      <c r="D26">
        <v>3</v>
      </c>
      <c r="E26">
        <v>358.25</v>
      </c>
      <c r="F26">
        <v>101</v>
      </c>
      <c r="G26">
        <v>1</v>
      </c>
      <c r="H26">
        <v>3</v>
      </c>
      <c r="I26">
        <v>4</v>
      </c>
      <c r="L26">
        <f t="shared" si="0"/>
        <v>2.694</v>
      </c>
      <c r="N26">
        <f t="shared" si="1"/>
        <v>-6.6666666666666596E-2</v>
      </c>
      <c r="O26">
        <f t="shared" si="2"/>
        <v>0.86486486486486491</v>
      </c>
      <c r="Q26">
        <f t="shared" si="3"/>
        <v>-175.59216675285404</v>
      </c>
      <c r="R26">
        <f t="shared" si="4"/>
        <v>184.40783324714596</v>
      </c>
      <c r="W26">
        <f t="shared" si="8"/>
        <v>0.114</v>
      </c>
      <c r="X26">
        <f t="shared" si="9"/>
        <v>186.71526541017926</v>
      </c>
      <c r="Y26">
        <f t="shared" si="5"/>
        <v>186.7152654101792</v>
      </c>
      <c r="AA26">
        <f t="shared" si="6"/>
        <v>185.33525541017929</v>
      </c>
      <c r="AB26">
        <f t="shared" si="7"/>
        <v>185.33525541017929</v>
      </c>
    </row>
    <row r="27" spans="1:28" x14ac:dyDescent="0.25">
      <c r="A27">
        <v>33722</v>
      </c>
      <c r="B27">
        <v>1.82</v>
      </c>
      <c r="C27">
        <v>-11.85</v>
      </c>
      <c r="D27">
        <v>3</v>
      </c>
      <c r="E27">
        <v>358.26</v>
      </c>
      <c r="F27">
        <v>102</v>
      </c>
      <c r="G27">
        <v>1</v>
      </c>
      <c r="H27">
        <v>3</v>
      </c>
      <c r="I27">
        <v>4</v>
      </c>
      <c r="L27">
        <f t="shared" si="0"/>
        <v>2.8079999999999998</v>
      </c>
      <c r="N27">
        <f t="shared" si="1"/>
        <v>-0.11428571428571421</v>
      </c>
      <c r="O27">
        <f t="shared" si="2"/>
        <v>0.86486486486486491</v>
      </c>
      <c r="Q27">
        <f t="shared" si="3"/>
        <v>-172.47238488757972</v>
      </c>
      <c r="R27">
        <f t="shared" si="4"/>
        <v>187.52761511242028</v>
      </c>
      <c r="W27">
        <f t="shared" si="8"/>
        <v>0.114</v>
      </c>
      <c r="X27">
        <f t="shared" si="9"/>
        <v>186.50778541017925</v>
      </c>
      <c r="Y27">
        <f t="shared" si="5"/>
        <v>186.50778541017928</v>
      </c>
      <c r="AA27">
        <f t="shared" si="6"/>
        <v>185.3252554101793</v>
      </c>
      <c r="AB27">
        <f t="shared" si="7"/>
        <v>185.3252554101793</v>
      </c>
    </row>
    <row r="28" spans="1:28" x14ac:dyDescent="0.25">
      <c r="A28">
        <v>33835</v>
      </c>
      <c r="B28">
        <v>-1.03</v>
      </c>
      <c r="C28">
        <v>-13.05</v>
      </c>
      <c r="D28">
        <v>3.6</v>
      </c>
      <c r="E28">
        <v>358.26</v>
      </c>
      <c r="F28">
        <v>102</v>
      </c>
      <c r="G28">
        <v>1</v>
      </c>
      <c r="H28">
        <v>3</v>
      </c>
      <c r="I28">
        <v>4</v>
      </c>
      <c r="L28">
        <f t="shared" si="0"/>
        <v>2.9209999999999998</v>
      </c>
      <c r="N28">
        <f t="shared" si="1"/>
        <v>-0.19047619047619047</v>
      </c>
      <c r="O28">
        <f t="shared" si="2"/>
        <v>0.90090090090090102</v>
      </c>
      <c r="Q28">
        <f t="shared" si="3"/>
        <v>-168.06184950549519</v>
      </c>
      <c r="R28">
        <f t="shared" si="4"/>
        <v>191.93815049450481</v>
      </c>
      <c r="W28">
        <f t="shared" si="8"/>
        <v>0.113</v>
      </c>
      <c r="X28">
        <f t="shared" si="9"/>
        <v>186.62417541017925</v>
      </c>
      <c r="Y28">
        <f t="shared" si="5"/>
        <v>186.6241754101793</v>
      </c>
      <c r="AA28">
        <f t="shared" si="6"/>
        <v>185.3252554101793</v>
      </c>
      <c r="AB28">
        <f t="shared" si="7"/>
        <v>185.3252554101793</v>
      </c>
    </row>
    <row r="29" spans="1:28" x14ac:dyDescent="0.25">
      <c r="A29">
        <v>33950</v>
      </c>
      <c r="B29">
        <v>0.47</v>
      </c>
      <c r="C29">
        <v>-12.45</v>
      </c>
      <c r="D29">
        <v>2.85</v>
      </c>
      <c r="E29">
        <v>358.26</v>
      </c>
      <c r="F29">
        <v>102</v>
      </c>
      <c r="G29">
        <v>1</v>
      </c>
      <c r="H29">
        <v>3</v>
      </c>
      <c r="I29">
        <v>4</v>
      </c>
      <c r="L29">
        <f t="shared" si="0"/>
        <v>3.036</v>
      </c>
      <c r="N29">
        <f t="shared" si="1"/>
        <v>-0.15238095238095228</v>
      </c>
      <c r="O29">
        <f t="shared" si="2"/>
        <v>0.85585585585585588</v>
      </c>
      <c r="Q29">
        <f t="shared" si="3"/>
        <v>-169.90455479632649</v>
      </c>
      <c r="R29">
        <f t="shared" si="4"/>
        <v>190.09544520367351</v>
      </c>
      <c r="W29">
        <f t="shared" si="8"/>
        <v>0.115</v>
      </c>
      <c r="X29">
        <f t="shared" si="9"/>
        <v>186.57012541017926</v>
      </c>
      <c r="Y29">
        <f t="shared" si="5"/>
        <v>186.57012541017923</v>
      </c>
      <c r="AA29">
        <f t="shared" si="6"/>
        <v>185.3252554101793</v>
      </c>
      <c r="AB29">
        <f t="shared" si="7"/>
        <v>185.3252554101793</v>
      </c>
    </row>
    <row r="30" spans="1:28" x14ac:dyDescent="0.25">
      <c r="A30">
        <v>34063</v>
      </c>
      <c r="B30">
        <v>-2.5299999999999998</v>
      </c>
      <c r="C30">
        <v>-12</v>
      </c>
      <c r="D30">
        <v>2.5499999999999998</v>
      </c>
      <c r="E30">
        <v>358.26</v>
      </c>
      <c r="F30">
        <v>102</v>
      </c>
      <c r="G30">
        <v>1</v>
      </c>
      <c r="H30">
        <v>3</v>
      </c>
      <c r="I30">
        <v>4</v>
      </c>
      <c r="L30">
        <f t="shared" si="0"/>
        <v>3.149</v>
      </c>
      <c r="N30">
        <f t="shared" si="1"/>
        <v>-0.12380952380952376</v>
      </c>
      <c r="O30">
        <f t="shared" si="2"/>
        <v>0.83783783783783783</v>
      </c>
      <c r="Q30">
        <f t="shared" si="3"/>
        <v>-171.59408410948436</v>
      </c>
      <c r="R30">
        <f t="shared" si="4"/>
        <v>188.40591589051564</v>
      </c>
      <c r="W30">
        <f t="shared" si="8"/>
        <v>0.113</v>
      </c>
      <c r="X30">
        <f t="shared" si="9"/>
        <v>186.85601541017925</v>
      </c>
      <c r="Y30">
        <f t="shared" si="5"/>
        <v>186.85601541017923</v>
      </c>
      <c r="AA30">
        <f t="shared" si="6"/>
        <v>185.3252554101793</v>
      </c>
      <c r="AB30">
        <f t="shared" si="7"/>
        <v>185.3252554101793</v>
      </c>
    </row>
    <row r="31" spans="1:28" x14ac:dyDescent="0.25">
      <c r="A31">
        <v>34178</v>
      </c>
      <c r="B31">
        <v>-0.68</v>
      </c>
      <c r="C31">
        <v>-11.85</v>
      </c>
      <c r="D31">
        <v>3</v>
      </c>
      <c r="E31">
        <v>358.25</v>
      </c>
      <c r="F31">
        <v>101</v>
      </c>
      <c r="G31">
        <v>1</v>
      </c>
      <c r="H31">
        <v>3</v>
      </c>
      <c r="I31">
        <v>4</v>
      </c>
      <c r="L31">
        <f t="shared" si="0"/>
        <v>3.2639999999999998</v>
      </c>
      <c r="N31">
        <f t="shared" si="1"/>
        <v>-0.11428571428571421</v>
      </c>
      <c r="O31">
        <f t="shared" si="2"/>
        <v>0.86486486486486491</v>
      </c>
      <c r="Q31">
        <f t="shared" si="3"/>
        <v>-172.47238488757972</v>
      </c>
      <c r="R31">
        <f t="shared" si="4"/>
        <v>187.52761511242028</v>
      </c>
      <c r="W31">
        <f t="shared" si="8"/>
        <v>0.115</v>
      </c>
      <c r="X31">
        <f t="shared" si="9"/>
        <v>186.93421541017926</v>
      </c>
      <c r="Y31">
        <f t="shared" si="5"/>
        <v>186.93421541017926</v>
      </c>
      <c r="AA31">
        <f t="shared" si="6"/>
        <v>185.33525541017929</v>
      </c>
      <c r="AB31">
        <f t="shared" si="7"/>
        <v>185.33525541017929</v>
      </c>
    </row>
    <row r="32" spans="1:28" x14ac:dyDescent="0.25">
      <c r="A32">
        <v>34293</v>
      </c>
      <c r="B32">
        <v>0.15</v>
      </c>
      <c r="C32">
        <v>-10.95</v>
      </c>
      <c r="D32">
        <v>2.5499999999999998</v>
      </c>
      <c r="E32">
        <v>358.25</v>
      </c>
      <c r="F32">
        <v>101</v>
      </c>
      <c r="G32">
        <v>1</v>
      </c>
      <c r="H32">
        <v>3</v>
      </c>
      <c r="I32">
        <v>4</v>
      </c>
      <c r="L32">
        <f t="shared" si="0"/>
        <v>3.379</v>
      </c>
      <c r="N32">
        <f t="shared" si="1"/>
        <v>-5.7142857142857051E-2</v>
      </c>
      <c r="O32">
        <f t="shared" si="2"/>
        <v>0.83783783783783783</v>
      </c>
      <c r="Q32">
        <f t="shared" si="3"/>
        <v>-176.09831164981389</v>
      </c>
      <c r="R32">
        <f t="shared" si="4"/>
        <v>183.90168835018611</v>
      </c>
      <c r="W32">
        <f t="shared" si="8"/>
        <v>0.115</v>
      </c>
      <c r="X32">
        <f t="shared" si="9"/>
        <v>186.91696541017927</v>
      </c>
      <c r="Y32">
        <f t="shared" si="5"/>
        <v>186.91696541017927</v>
      </c>
      <c r="AA32">
        <f t="shared" si="6"/>
        <v>185.33525541017929</v>
      </c>
      <c r="AB32">
        <f t="shared" si="7"/>
        <v>185.33525541017929</v>
      </c>
    </row>
    <row r="33" spans="1:28" x14ac:dyDescent="0.25">
      <c r="A33">
        <v>34407</v>
      </c>
      <c r="B33">
        <v>-1.05</v>
      </c>
      <c r="C33">
        <v>-11.4</v>
      </c>
      <c r="D33">
        <v>4.3499999999999996</v>
      </c>
      <c r="E33">
        <v>358.21</v>
      </c>
      <c r="F33">
        <v>99</v>
      </c>
      <c r="G33">
        <v>1</v>
      </c>
      <c r="H33">
        <v>3</v>
      </c>
      <c r="I33">
        <v>4</v>
      </c>
      <c r="L33">
        <f t="shared" si="0"/>
        <v>3.4929999999999999</v>
      </c>
      <c r="N33">
        <f t="shared" si="1"/>
        <v>-8.5714285714285687E-2</v>
      </c>
      <c r="O33">
        <f t="shared" si="2"/>
        <v>0.94594594594594605</v>
      </c>
      <c r="Q33">
        <f t="shared" si="3"/>
        <v>-174.82244015684864</v>
      </c>
      <c r="R33">
        <f t="shared" si="4"/>
        <v>185.17755984315136</v>
      </c>
      <c r="W33">
        <f t="shared" si="8"/>
        <v>0.114</v>
      </c>
      <c r="X33">
        <f t="shared" si="9"/>
        <v>187.03666541017927</v>
      </c>
      <c r="Y33">
        <f t="shared" si="5"/>
        <v>187.03666541017924</v>
      </c>
      <c r="AA33">
        <f t="shared" si="6"/>
        <v>185.37525541017931</v>
      </c>
      <c r="AB33">
        <f t="shared" si="7"/>
        <v>185.37525541017931</v>
      </c>
    </row>
    <row r="34" spans="1:28" x14ac:dyDescent="0.25">
      <c r="A34">
        <v>34520</v>
      </c>
      <c r="B34">
        <v>-2.68</v>
      </c>
      <c r="C34">
        <v>-10.65</v>
      </c>
      <c r="D34">
        <v>3.15</v>
      </c>
      <c r="E34">
        <v>358.25</v>
      </c>
      <c r="F34">
        <v>101</v>
      </c>
      <c r="G34">
        <v>1</v>
      </c>
      <c r="H34">
        <v>3</v>
      </c>
      <c r="I34">
        <v>4</v>
      </c>
      <c r="L34">
        <f t="shared" si="0"/>
        <v>3.6059999999999999</v>
      </c>
      <c r="N34">
        <f t="shared" si="1"/>
        <v>-3.8095238095238071E-2</v>
      </c>
      <c r="O34">
        <f t="shared" si="2"/>
        <v>0.87387387387387394</v>
      </c>
      <c r="Q34">
        <f t="shared" si="3"/>
        <v>-177.5038557161287</v>
      </c>
      <c r="R34">
        <f t="shared" si="4"/>
        <v>182.4961442838713</v>
      </c>
      <c r="W34">
        <f t="shared" si="8"/>
        <v>0.113</v>
      </c>
      <c r="X34">
        <f t="shared" si="9"/>
        <v>187.33950541017927</v>
      </c>
      <c r="Y34">
        <f t="shared" si="5"/>
        <v>187.3395054101793</v>
      </c>
      <c r="AA34">
        <f t="shared" si="6"/>
        <v>185.33525541017929</v>
      </c>
      <c r="AB34">
        <f t="shared" si="7"/>
        <v>185.33525541017929</v>
      </c>
    </row>
    <row r="35" spans="1:28" x14ac:dyDescent="0.25">
      <c r="A35">
        <v>34635</v>
      </c>
      <c r="B35">
        <v>-1.04</v>
      </c>
      <c r="C35">
        <v>-12.45</v>
      </c>
      <c r="D35">
        <v>4.6500000000000004</v>
      </c>
      <c r="E35">
        <v>358.3</v>
      </c>
      <c r="F35">
        <v>104</v>
      </c>
      <c r="G35">
        <v>1</v>
      </c>
      <c r="H35">
        <v>3</v>
      </c>
      <c r="I35">
        <v>4</v>
      </c>
      <c r="L35">
        <f t="shared" si="0"/>
        <v>3.7210000000000001</v>
      </c>
      <c r="N35">
        <f t="shared" si="1"/>
        <v>-0.15238095238095228</v>
      </c>
      <c r="O35">
        <f t="shared" si="2"/>
        <v>0.96396396396396411</v>
      </c>
      <c r="Q35">
        <f t="shared" si="3"/>
        <v>-171.01716037382201</v>
      </c>
      <c r="R35">
        <f t="shared" si="4"/>
        <v>188.98283962617799</v>
      </c>
      <c r="W35">
        <f t="shared" si="8"/>
        <v>0.115</v>
      </c>
      <c r="X35">
        <f t="shared" si="9"/>
        <v>187.45910541017926</v>
      </c>
      <c r="Y35">
        <f t="shared" si="5"/>
        <v>187.45910541017929</v>
      </c>
      <c r="AA35">
        <f t="shared" si="6"/>
        <v>185.28525541017927</v>
      </c>
      <c r="AB35">
        <f t="shared" si="7"/>
        <v>185.28525541017927</v>
      </c>
    </row>
    <row r="36" spans="1:28" x14ac:dyDescent="0.25">
      <c r="A36">
        <v>34750</v>
      </c>
      <c r="B36">
        <v>0.28999999999999998</v>
      </c>
      <c r="C36">
        <v>-13.05</v>
      </c>
      <c r="D36">
        <v>2.5499999999999998</v>
      </c>
      <c r="E36">
        <v>358.87</v>
      </c>
      <c r="F36">
        <v>104</v>
      </c>
      <c r="G36">
        <v>1</v>
      </c>
      <c r="H36">
        <v>3</v>
      </c>
      <c r="I36">
        <v>3</v>
      </c>
      <c r="L36">
        <f t="shared" si="0"/>
        <v>3.8359999999999999</v>
      </c>
      <c r="N36">
        <f t="shared" si="1"/>
        <v>-0.19047619047619047</v>
      </c>
      <c r="O36">
        <f t="shared" si="2"/>
        <v>0.83783783783783783</v>
      </c>
      <c r="Q36">
        <f t="shared" si="3"/>
        <v>-167.19192993926586</v>
      </c>
      <c r="R36">
        <f t="shared" si="4"/>
        <v>192.80807006073414</v>
      </c>
      <c r="W36">
        <f t="shared" si="8"/>
        <v>0.115</v>
      </c>
      <c r="X36">
        <f t="shared" si="9"/>
        <v>187.42575541017925</v>
      </c>
      <c r="Y36">
        <f t="shared" si="5"/>
        <v>187.42575541017925</v>
      </c>
      <c r="AA36">
        <f t="shared" si="6"/>
        <v>184.71525541017928</v>
      </c>
      <c r="AB36">
        <f t="shared" si="7"/>
        <v>184.71525541017928</v>
      </c>
    </row>
    <row r="37" spans="1:28" x14ac:dyDescent="0.25">
      <c r="A37">
        <v>34863</v>
      </c>
      <c r="B37">
        <v>-0.13</v>
      </c>
      <c r="C37">
        <v>-11.85</v>
      </c>
      <c r="D37">
        <v>4.2</v>
      </c>
      <c r="E37">
        <v>358.87</v>
      </c>
      <c r="F37">
        <v>104</v>
      </c>
      <c r="G37">
        <v>1</v>
      </c>
      <c r="H37">
        <v>3</v>
      </c>
      <c r="I37">
        <v>3</v>
      </c>
      <c r="L37">
        <f t="shared" si="0"/>
        <v>3.9489999999999998</v>
      </c>
      <c r="N37">
        <f t="shared" si="1"/>
        <v>-0.11428571428571421</v>
      </c>
      <c r="O37">
        <f t="shared" si="2"/>
        <v>0.93693693693693714</v>
      </c>
      <c r="Q37">
        <f t="shared" si="3"/>
        <v>-173.04552937245728</v>
      </c>
      <c r="R37">
        <f t="shared" si="4"/>
        <v>186.95447062754272</v>
      </c>
      <c r="W37">
        <f t="shared" si="8"/>
        <v>0.113</v>
      </c>
      <c r="X37">
        <f t="shared" si="9"/>
        <v>187.44044541017925</v>
      </c>
      <c r="Y37">
        <f t="shared" si="5"/>
        <v>187.44044541017922</v>
      </c>
      <c r="AA37">
        <f t="shared" si="6"/>
        <v>184.71525541017928</v>
      </c>
      <c r="AB37">
        <f t="shared" si="7"/>
        <v>184.71525541017928</v>
      </c>
    </row>
    <row r="38" spans="1:28" x14ac:dyDescent="0.25">
      <c r="A38">
        <v>34978</v>
      </c>
      <c r="B38">
        <v>-0.12</v>
      </c>
      <c r="C38">
        <v>-11.4</v>
      </c>
      <c r="D38">
        <v>3.6</v>
      </c>
      <c r="E38">
        <v>358.3</v>
      </c>
      <c r="F38">
        <v>104</v>
      </c>
      <c r="G38">
        <v>1</v>
      </c>
      <c r="H38">
        <v>3</v>
      </c>
      <c r="I38">
        <v>4</v>
      </c>
      <c r="L38">
        <f t="shared" si="0"/>
        <v>4.0640000000000001</v>
      </c>
      <c r="N38">
        <f t="shared" si="1"/>
        <v>-8.5714285714285687E-2</v>
      </c>
      <c r="O38">
        <f t="shared" si="2"/>
        <v>0.90090090090090102</v>
      </c>
      <c r="Q38">
        <f t="shared" si="3"/>
        <v>-174.56507570913686</v>
      </c>
      <c r="R38">
        <f t="shared" si="4"/>
        <v>185.43492429086314</v>
      </c>
      <c r="W38">
        <f t="shared" si="8"/>
        <v>0.115</v>
      </c>
      <c r="X38">
        <f t="shared" si="9"/>
        <v>187.45424541017925</v>
      </c>
      <c r="Y38">
        <f t="shared" si="5"/>
        <v>187.45424541017928</v>
      </c>
      <c r="AA38">
        <f t="shared" si="6"/>
        <v>185.28525541017927</v>
      </c>
      <c r="AB38">
        <f t="shared" si="7"/>
        <v>185.28525541017927</v>
      </c>
    </row>
    <row r="39" spans="1:28" x14ac:dyDescent="0.25">
      <c r="A39">
        <v>35092</v>
      </c>
      <c r="B39">
        <v>1.24</v>
      </c>
      <c r="C39">
        <v>-11.7</v>
      </c>
      <c r="D39">
        <v>3.6</v>
      </c>
      <c r="E39">
        <v>358.85</v>
      </c>
      <c r="F39">
        <v>103</v>
      </c>
      <c r="G39">
        <v>1</v>
      </c>
      <c r="H39">
        <v>3</v>
      </c>
      <c r="I39">
        <v>3</v>
      </c>
      <c r="L39">
        <f t="shared" si="0"/>
        <v>4.1779999999999999</v>
      </c>
      <c r="N39">
        <f t="shared" si="1"/>
        <v>-0.10476190476190467</v>
      </c>
      <c r="O39">
        <f t="shared" si="2"/>
        <v>0.90090090090090102</v>
      </c>
      <c r="Q39">
        <f t="shared" si="3"/>
        <v>-173.36710976104069</v>
      </c>
      <c r="R39">
        <f t="shared" si="4"/>
        <v>186.63289023895931</v>
      </c>
      <c r="W39">
        <f t="shared" si="8"/>
        <v>0.114</v>
      </c>
      <c r="X39">
        <f t="shared" si="9"/>
        <v>187.31288541017926</v>
      </c>
      <c r="Y39">
        <f t="shared" si="5"/>
        <v>187.31288541017921</v>
      </c>
      <c r="AA39">
        <f t="shared" si="6"/>
        <v>184.73525541017926</v>
      </c>
      <c r="AB39">
        <f t="shared" si="7"/>
        <v>184.73525541017926</v>
      </c>
    </row>
    <row r="40" spans="1:28" x14ac:dyDescent="0.25">
      <c r="A40">
        <v>35206</v>
      </c>
      <c r="B40">
        <v>-0.01</v>
      </c>
      <c r="C40">
        <v>-13.05</v>
      </c>
      <c r="D40">
        <v>1.35</v>
      </c>
      <c r="E40">
        <v>358.87</v>
      </c>
      <c r="F40">
        <v>104</v>
      </c>
      <c r="G40">
        <v>1</v>
      </c>
      <c r="H40">
        <v>3</v>
      </c>
      <c r="I40">
        <v>3</v>
      </c>
      <c r="L40">
        <f t="shared" si="0"/>
        <v>4.2919999999999998</v>
      </c>
      <c r="N40">
        <f t="shared" si="1"/>
        <v>-0.19047619047619047</v>
      </c>
      <c r="O40">
        <f t="shared" si="2"/>
        <v>0.76576576576576583</v>
      </c>
      <c r="Q40">
        <f t="shared" si="3"/>
        <v>-166.03174990938797</v>
      </c>
      <c r="R40">
        <f t="shared" si="4"/>
        <v>193.96825009061203</v>
      </c>
      <c r="W40">
        <f t="shared" si="8"/>
        <v>0.114</v>
      </c>
      <c r="X40">
        <f t="shared" si="9"/>
        <v>187.31402541017926</v>
      </c>
      <c r="Y40">
        <f t="shared" si="5"/>
        <v>187.31402541017928</v>
      </c>
      <c r="AA40">
        <f t="shared" si="6"/>
        <v>184.71525541017928</v>
      </c>
      <c r="AB40">
        <f t="shared" si="7"/>
        <v>184.71525541017928</v>
      </c>
    </row>
    <row r="41" spans="1:28" x14ac:dyDescent="0.25">
      <c r="A41">
        <v>35320</v>
      </c>
      <c r="B41">
        <v>0.18</v>
      </c>
      <c r="C41">
        <v>-12.9</v>
      </c>
      <c r="D41">
        <v>3.75</v>
      </c>
      <c r="E41">
        <v>358.85</v>
      </c>
      <c r="F41">
        <v>103</v>
      </c>
      <c r="G41">
        <v>1</v>
      </c>
      <c r="H41">
        <v>3</v>
      </c>
      <c r="I41">
        <v>3</v>
      </c>
      <c r="L41">
        <f t="shared" si="0"/>
        <v>4.4059999999999997</v>
      </c>
      <c r="N41">
        <f t="shared" si="1"/>
        <v>-0.18095238095238092</v>
      </c>
      <c r="O41">
        <f t="shared" si="2"/>
        <v>0.90990990990991005</v>
      </c>
      <c r="Q41">
        <f t="shared" si="3"/>
        <v>-168.75242007456455</v>
      </c>
      <c r="R41">
        <f t="shared" si="4"/>
        <v>191.24757992543545</v>
      </c>
      <c r="W41">
        <f t="shared" si="8"/>
        <v>0.114</v>
      </c>
      <c r="X41">
        <f t="shared" si="9"/>
        <v>187.29350541017925</v>
      </c>
      <c r="Y41">
        <f t="shared" si="5"/>
        <v>187.29350541017925</v>
      </c>
      <c r="AA41">
        <f t="shared" si="6"/>
        <v>184.73525541017926</v>
      </c>
      <c r="AB41">
        <f t="shared" si="7"/>
        <v>184.73525541017926</v>
      </c>
    </row>
    <row r="42" spans="1:28" x14ac:dyDescent="0.25">
      <c r="A42">
        <v>35434</v>
      </c>
      <c r="B42">
        <v>0.6</v>
      </c>
      <c r="C42">
        <v>-13.5</v>
      </c>
      <c r="D42">
        <v>3.9</v>
      </c>
      <c r="E42">
        <v>358.28</v>
      </c>
      <c r="F42">
        <v>103</v>
      </c>
      <c r="G42">
        <v>1</v>
      </c>
      <c r="H42">
        <v>3</v>
      </c>
      <c r="I42">
        <v>4</v>
      </c>
      <c r="L42">
        <f t="shared" si="0"/>
        <v>4.5199999999999996</v>
      </c>
      <c r="N42">
        <f t="shared" si="1"/>
        <v>-0.21904761904761899</v>
      </c>
      <c r="O42">
        <f t="shared" si="2"/>
        <v>0.91891891891891908</v>
      </c>
      <c r="Q42">
        <f t="shared" si="3"/>
        <v>-166.59231497781602</v>
      </c>
      <c r="R42">
        <f t="shared" si="4"/>
        <v>193.40768502218398</v>
      </c>
      <c r="W42">
        <f t="shared" si="8"/>
        <v>0.114</v>
      </c>
      <c r="X42">
        <f t="shared" si="9"/>
        <v>187.22510541017925</v>
      </c>
      <c r="Y42">
        <f t="shared" si="5"/>
        <v>187.22510541017925</v>
      </c>
      <c r="AA42">
        <f t="shared" si="6"/>
        <v>185.30525541017931</v>
      </c>
      <c r="AB42">
        <f t="shared" si="7"/>
        <v>185.30525541017931</v>
      </c>
    </row>
    <row r="43" spans="1:28" x14ac:dyDescent="0.25">
      <c r="A43">
        <v>35547</v>
      </c>
      <c r="B43">
        <v>-1.18</v>
      </c>
      <c r="C43">
        <v>-12.45</v>
      </c>
      <c r="D43">
        <v>3.9</v>
      </c>
      <c r="E43">
        <v>358.28</v>
      </c>
      <c r="F43">
        <v>103</v>
      </c>
      <c r="G43">
        <v>1</v>
      </c>
      <c r="H43">
        <v>3</v>
      </c>
      <c r="I43">
        <v>4</v>
      </c>
      <c r="L43">
        <f t="shared" si="0"/>
        <v>4.633</v>
      </c>
      <c r="N43">
        <f t="shared" si="1"/>
        <v>-0.15238095238095228</v>
      </c>
      <c r="O43">
        <f t="shared" si="2"/>
        <v>0.91891891891891908</v>
      </c>
      <c r="Q43">
        <f t="shared" si="3"/>
        <v>-170.58453059050956</v>
      </c>
      <c r="R43">
        <f t="shared" si="4"/>
        <v>189.41546940949044</v>
      </c>
      <c r="W43">
        <f t="shared" si="8"/>
        <v>0.113</v>
      </c>
      <c r="X43">
        <f t="shared" si="9"/>
        <v>187.35844541017926</v>
      </c>
      <c r="Y43">
        <f t="shared" si="5"/>
        <v>187.35844541017923</v>
      </c>
      <c r="AA43">
        <f t="shared" si="6"/>
        <v>185.30525541017931</v>
      </c>
      <c r="AB43">
        <f t="shared" si="7"/>
        <v>185.30525541017931</v>
      </c>
    </row>
    <row r="44" spans="1:28" x14ac:dyDescent="0.25">
      <c r="A44">
        <v>35662</v>
      </c>
      <c r="B44">
        <v>-5.99</v>
      </c>
      <c r="C44">
        <v>-12.45</v>
      </c>
      <c r="D44">
        <v>2.1</v>
      </c>
      <c r="E44">
        <v>358.3</v>
      </c>
      <c r="F44">
        <v>104</v>
      </c>
      <c r="G44">
        <v>1</v>
      </c>
      <c r="H44">
        <v>3</v>
      </c>
      <c r="I44">
        <v>4</v>
      </c>
      <c r="L44">
        <f t="shared" si="0"/>
        <v>4.7480000000000002</v>
      </c>
      <c r="N44">
        <f t="shared" si="1"/>
        <v>-0.15238095238095228</v>
      </c>
      <c r="O44">
        <f t="shared" si="2"/>
        <v>0.81081081081081086</v>
      </c>
      <c r="Q44">
        <f t="shared" si="3"/>
        <v>-169.3561859712654</v>
      </c>
      <c r="R44">
        <f t="shared" si="4"/>
        <v>190.6438140287346</v>
      </c>
      <c r="W44">
        <f t="shared" si="8"/>
        <v>0.115</v>
      </c>
      <c r="X44">
        <f t="shared" si="9"/>
        <v>188.04729541017926</v>
      </c>
      <c r="Y44">
        <f t="shared" si="5"/>
        <v>188.04729541017923</v>
      </c>
      <c r="AA44">
        <f t="shared" si="6"/>
        <v>185.28525541017927</v>
      </c>
      <c r="AB44">
        <f t="shared" si="7"/>
        <v>185.28525541017927</v>
      </c>
    </row>
    <row r="45" spans="1:28" x14ac:dyDescent="0.25">
      <c r="A45">
        <v>35777</v>
      </c>
      <c r="B45">
        <v>-5.28</v>
      </c>
      <c r="C45">
        <v>-12.75</v>
      </c>
      <c r="D45">
        <v>2.5499999999999998</v>
      </c>
      <c r="E45">
        <v>358.88</v>
      </c>
      <c r="F45">
        <v>105</v>
      </c>
      <c r="G45">
        <v>1</v>
      </c>
      <c r="H45">
        <v>3</v>
      </c>
      <c r="I45">
        <v>3</v>
      </c>
      <c r="L45">
        <f t="shared" si="0"/>
        <v>4.8630000000000004</v>
      </c>
      <c r="N45">
        <f t="shared" si="1"/>
        <v>-0.17142857142857137</v>
      </c>
      <c r="O45">
        <f t="shared" si="2"/>
        <v>0.83783783783783783</v>
      </c>
      <c r="Q45">
        <f t="shared" si="3"/>
        <v>-168.43641335033308</v>
      </c>
      <c r="R45">
        <f t="shared" si="4"/>
        <v>191.56358664966692</v>
      </c>
      <c r="W45">
        <f t="shared" si="8"/>
        <v>0.115</v>
      </c>
      <c r="X45">
        <f t="shared" si="9"/>
        <v>188.65449541017927</v>
      </c>
      <c r="Y45">
        <f t="shared" si="5"/>
        <v>188.65449541017927</v>
      </c>
      <c r="AA45">
        <f t="shared" si="6"/>
        <v>184.70525541017929</v>
      </c>
      <c r="AB45">
        <f t="shared" si="7"/>
        <v>184.70525541017929</v>
      </c>
    </row>
    <row r="46" spans="1:28" x14ac:dyDescent="0.25">
      <c r="A46">
        <v>35891</v>
      </c>
      <c r="B46">
        <v>-2.2599999999999998</v>
      </c>
      <c r="C46">
        <v>-13.05</v>
      </c>
      <c r="D46">
        <v>3.15</v>
      </c>
      <c r="E46">
        <v>358.91</v>
      </c>
      <c r="F46">
        <v>108</v>
      </c>
      <c r="G46">
        <v>1</v>
      </c>
      <c r="H46">
        <v>3</v>
      </c>
      <c r="I46">
        <v>3</v>
      </c>
      <c r="L46">
        <f t="shared" si="0"/>
        <v>4.9770000000000003</v>
      </c>
      <c r="N46">
        <f t="shared" si="1"/>
        <v>-0.19047619047619047</v>
      </c>
      <c r="O46">
        <f t="shared" si="2"/>
        <v>0.87387387387387394</v>
      </c>
      <c r="Q46">
        <f t="shared" si="3"/>
        <v>-167.70370081122971</v>
      </c>
      <c r="R46">
        <f t="shared" si="4"/>
        <v>192.29629918877029</v>
      </c>
      <c r="W46">
        <f t="shared" si="8"/>
        <v>0.114</v>
      </c>
      <c r="X46">
        <f t="shared" si="9"/>
        <v>188.91213541017927</v>
      </c>
      <c r="Y46">
        <f t="shared" si="5"/>
        <v>188.9121354101793</v>
      </c>
      <c r="AA46">
        <f t="shared" si="6"/>
        <v>184.67525541017926</v>
      </c>
      <c r="AB46">
        <f t="shared" si="7"/>
        <v>184.67525541017926</v>
      </c>
    </row>
    <row r="47" spans="1:28" x14ac:dyDescent="0.25">
      <c r="A47">
        <v>36006</v>
      </c>
      <c r="B47">
        <v>-1.47</v>
      </c>
      <c r="C47">
        <v>-13.8</v>
      </c>
      <c r="D47">
        <v>3.9</v>
      </c>
      <c r="E47">
        <v>358.93</v>
      </c>
      <c r="F47">
        <v>110</v>
      </c>
      <c r="G47">
        <v>1</v>
      </c>
      <c r="H47">
        <v>3</v>
      </c>
      <c r="I47">
        <v>3</v>
      </c>
      <c r="L47">
        <f t="shared" si="0"/>
        <v>5.0919999999999996</v>
      </c>
      <c r="N47">
        <f t="shared" si="1"/>
        <v>-0.23809523809523808</v>
      </c>
      <c r="O47">
        <f t="shared" si="2"/>
        <v>0.91891891891891908</v>
      </c>
      <c r="Q47">
        <f t="shared" si="3"/>
        <v>-165.47389991568411</v>
      </c>
      <c r="R47">
        <f t="shared" si="4"/>
        <v>194.52610008431589</v>
      </c>
      <c r="W47">
        <f t="shared" si="8"/>
        <v>0.115</v>
      </c>
      <c r="X47">
        <f t="shared" si="9"/>
        <v>189.08118541017927</v>
      </c>
      <c r="Y47">
        <f t="shared" si="5"/>
        <v>189.08118541017927</v>
      </c>
      <c r="AA47">
        <f t="shared" si="6"/>
        <v>184.65525541017928</v>
      </c>
      <c r="AB47">
        <f t="shared" si="7"/>
        <v>184.65525541017928</v>
      </c>
    </row>
    <row r="48" spans="1:28" x14ac:dyDescent="0.25">
      <c r="A48">
        <v>36120</v>
      </c>
      <c r="B48">
        <v>-0.76</v>
      </c>
      <c r="C48">
        <v>-13.8</v>
      </c>
      <c r="D48">
        <v>5.0999999999999996</v>
      </c>
      <c r="E48">
        <v>359.48</v>
      </c>
      <c r="F48">
        <v>113</v>
      </c>
      <c r="G48">
        <v>2</v>
      </c>
      <c r="H48">
        <v>3</v>
      </c>
      <c r="I48">
        <v>3</v>
      </c>
      <c r="L48">
        <f t="shared" si="0"/>
        <v>5.2060000000000004</v>
      </c>
      <c r="N48">
        <f t="shared" si="1"/>
        <v>-0.23809523809523808</v>
      </c>
      <c r="O48">
        <f t="shared" si="2"/>
        <v>0.99099099099099108</v>
      </c>
      <c r="Q48">
        <f t="shared" si="3"/>
        <v>-166.49019604671864</v>
      </c>
      <c r="R48">
        <f t="shared" si="4"/>
        <v>193.50980395328136</v>
      </c>
      <c r="W48">
        <f t="shared" si="8"/>
        <v>0.114</v>
      </c>
      <c r="X48">
        <f t="shared" si="9"/>
        <v>189.16782541017926</v>
      </c>
      <c r="Y48">
        <f t="shared" si="5"/>
        <v>189.16782541017926</v>
      </c>
      <c r="AA48">
        <f t="shared" si="6"/>
        <v>184.10525541017927</v>
      </c>
      <c r="AB48">
        <f t="shared" si="7"/>
        <v>184.10525541017927</v>
      </c>
    </row>
    <row r="49" spans="1:28" x14ac:dyDescent="0.25">
      <c r="A49">
        <v>36235</v>
      </c>
      <c r="B49">
        <v>-4.5599999999999996</v>
      </c>
      <c r="C49">
        <v>-13.95</v>
      </c>
      <c r="D49">
        <v>3</v>
      </c>
      <c r="E49">
        <v>358.98</v>
      </c>
      <c r="F49">
        <v>115</v>
      </c>
      <c r="G49">
        <v>1</v>
      </c>
      <c r="H49">
        <v>3</v>
      </c>
      <c r="I49">
        <v>3</v>
      </c>
      <c r="L49">
        <f t="shared" si="0"/>
        <v>5.3209999999999997</v>
      </c>
      <c r="N49">
        <f t="shared" si="1"/>
        <v>-0.24761904761904752</v>
      </c>
      <c r="O49">
        <f t="shared" si="2"/>
        <v>0.86486486486486491</v>
      </c>
      <c r="Q49">
        <f t="shared" si="3"/>
        <v>-164.02307836286298</v>
      </c>
      <c r="R49">
        <f t="shared" si="4"/>
        <v>195.97692163713702</v>
      </c>
      <c r="W49">
        <f t="shared" si="8"/>
        <v>0.115</v>
      </c>
      <c r="X49">
        <f t="shared" si="9"/>
        <v>189.69222541017928</v>
      </c>
      <c r="Y49">
        <f t="shared" si="5"/>
        <v>189.69222541017928</v>
      </c>
      <c r="AA49">
        <f t="shared" si="6"/>
        <v>184.60525541017927</v>
      </c>
      <c r="AB49">
        <f t="shared" si="7"/>
        <v>184.60525541017927</v>
      </c>
    </row>
    <row r="50" spans="1:28" x14ac:dyDescent="0.25">
      <c r="A50">
        <v>36350</v>
      </c>
      <c r="B50">
        <v>-7.18</v>
      </c>
      <c r="C50">
        <v>-12.75</v>
      </c>
      <c r="D50">
        <v>3.9</v>
      </c>
      <c r="E50">
        <v>358.99</v>
      </c>
      <c r="F50">
        <v>117</v>
      </c>
      <c r="G50">
        <v>1</v>
      </c>
      <c r="H50">
        <v>3</v>
      </c>
      <c r="I50">
        <v>3</v>
      </c>
      <c r="L50">
        <f t="shared" si="0"/>
        <v>5.4359999999999999</v>
      </c>
      <c r="N50">
        <f t="shared" si="1"/>
        <v>-0.17142857142857137</v>
      </c>
      <c r="O50">
        <f t="shared" si="2"/>
        <v>0.91891891891891908</v>
      </c>
      <c r="Q50">
        <f t="shared" si="3"/>
        <v>-169.43268024319977</v>
      </c>
      <c r="R50">
        <f t="shared" si="4"/>
        <v>190.56731975680023</v>
      </c>
      <c r="W50">
        <f t="shared" si="8"/>
        <v>0.115</v>
      </c>
      <c r="X50">
        <f t="shared" si="9"/>
        <v>190.51792541017929</v>
      </c>
      <c r="Y50">
        <f t="shared" si="5"/>
        <v>190.51792541017926</v>
      </c>
      <c r="AA50">
        <f t="shared" si="6"/>
        <v>184.59525541017928</v>
      </c>
      <c r="AB50">
        <f t="shared" si="7"/>
        <v>184.59525541017928</v>
      </c>
    </row>
    <row r="51" spans="1:28" x14ac:dyDescent="0.25">
      <c r="A51">
        <v>36464</v>
      </c>
      <c r="B51">
        <v>-7.41</v>
      </c>
      <c r="C51">
        <v>-13.35</v>
      </c>
      <c r="D51">
        <v>2.7</v>
      </c>
      <c r="E51">
        <v>359</v>
      </c>
      <c r="F51">
        <v>118</v>
      </c>
      <c r="G51">
        <v>1</v>
      </c>
      <c r="H51">
        <v>3</v>
      </c>
      <c r="I51">
        <v>3</v>
      </c>
      <c r="L51">
        <f t="shared" si="0"/>
        <v>5.55</v>
      </c>
      <c r="N51">
        <f t="shared" si="1"/>
        <v>-0.20952380952380945</v>
      </c>
      <c r="O51">
        <f t="shared" si="2"/>
        <v>0.84684684684684697</v>
      </c>
      <c r="Q51">
        <f t="shared" si="3"/>
        <v>-166.10316204655336</v>
      </c>
      <c r="R51">
        <f t="shared" si="4"/>
        <v>193.89683795344664</v>
      </c>
      <c r="W51">
        <f t="shared" si="8"/>
        <v>0.114</v>
      </c>
      <c r="X51">
        <f t="shared" si="9"/>
        <v>191.36266541017929</v>
      </c>
      <c r="Y51">
        <f t="shared" si="5"/>
        <v>191.36266541017926</v>
      </c>
      <c r="AA51">
        <f t="shared" si="6"/>
        <v>184.58525541017929</v>
      </c>
      <c r="AB51">
        <f t="shared" si="7"/>
        <v>184.58525541017929</v>
      </c>
    </row>
    <row r="52" spans="1:28" x14ac:dyDescent="0.25">
      <c r="A52">
        <v>36579</v>
      </c>
      <c r="B52">
        <v>-6.27</v>
      </c>
      <c r="C52">
        <v>-14.55</v>
      </c>
      <c r="D52">
        <v>2.85</v>
      </c>
      <c r="E52">
        <v>358.53</v>
      </c>
      <c r="F52">
        <v>120</v>
      </c>
      <c r="G52">
        <v>1</v>
      </c>
      <c r="H52">
        <v>3</v>
      </c>
      <c r="I52">
        <v>4</v>
      </c>
      <c r="L52">
        <f t="shared" si="0"/>
        <v>5.665</v>
      </c>
      <c r="N52">
        <f t="shared" si="1"/>
        <v>-0.2857142857142857</v>
      </c>
      <c r="O52">
        <f t="shared" si="2"/>
        <v>0.85585585585585588</v>
      </c>
      <c r="Q52">
        <f t="shared" si="3"/>
        <v>-161.53920734504038</v>
      </c>
      <c r="R52">
        <f t="shared" si="4"/>
        <v>198.46079265495962</v>
      </c>
      <c r="W52">
        <f t="shared" si="8"/>
        <v>0.115</v>
      </c>
      <c r="X52">
        <f t="shared" si="9"/>
        <v>192.08371541017928</v>
      </c>
      <c r="Y52">
        <f t="shared" si="5"/>
        <v>192.08371541017925</v>
      </c>
      <c r="AA52">
        <f t="shared" si="6"/>
        <v>185.05525541017931</v>
      </c>
      <c r="AB52">
        <f t="shared" si="7"/>
        <v>185.05525541017931</v>
      </c>
    </row>
    <row r="53" spans="1:28" x14ac:dyDescent="0.25">
      <c r="A53">
        <v>36693</v>
      </c>
      <c r="B53">
        <v>0.82</v>
      </c>
      <c r="C53">
        <v>-14.4</v>
      </c>
      <c r="D53">
        <v>2.7</v>
      </c>
      <c r="E53">
        <v>359.03</v>
      </c>
      <c r="F53">
        <v>121</v>
      </c>
      <c r="G53">
        <v>1</v>
      </c>
      <c r="H53">
        <v>3</v>
      </c>
      <c r="I53">
        <v>3</v>
      </c>
      <c r="L53">
        <f t="shared" si="0"/>
        <v>5.7789999999999999</v>
      </c>
      <c r="N53">
        <f t="shared" si="1"/>
        <v>-0.27619047619047615</v>
      </c>
      <c r="O53">
        <f t="shared" si="2"/>
        <v>0.84684684684684697</v>
      </c>
      <c r="Q53">
        <f t="shared" si="3"/>
        <v>-161.93679048661707</v>
      </c>
      <c r="R53">
        <f t="shared" si="4"/>
        <v>198.06320951338293</v>
      </c>
      <c r="W53">
        <f t="shared" si="8"/>
        <v>0.114</v>
      </c>
      <c r="X53">
        <f t="shared" si="9"/>
        <v>191.99023541017928</v>
      </c>
      <c r="Y53">
        <f t="shared" si="5"/>
        <v>191.99023541017925</v>
      </c>
      <c r="AA53">
        <f t="shared" si="6"/>
        <v>184.55525541017931</v>
      </c>
      <c r="AB53">
        <f t="shared" si="7"/>
        <v>184.55525541017931</v>
      </c>
    </row>
    <row r="54" spans="1:28" x14ac:dyDescent="0.25">
      <c r="A54">
        <v>36807</v>
      </c>
      <c r="B54">
        <v>10.49</v>
      </c>
      <c r="C54">
        <v>-13.8</v>
      </c>
      <c r="D54">
        <v>3.6</v>
      </c>
      <c r="E54">
        <v>359.03</v>
      </c>
      <c r="F54">
        <v>121</v>
      </c>
      <c r="G54">
        <v>1</v>
      </c>
      <c r="H54">
        <v>3</v>
      </c>
      <c r="I54">
        <v>3</v>
      </c>
      <c r="L54">
        <f t="shared" si="0"/>
        <v>5.8929999999999998</v>
      </c>
      <c r="N54">
        <f t="shared" si="1"/>
        <v>-0.23809523809523808</v>
      </c>
      <c r="O54">
        <f t="shared" si="2"/>
        <v>0.90090090090090102</v>
      </c>
      <c r="Q54">
        <f t="shared" si="3"/>
        <v>-165.19601984372954</v>
      </c>
      <c r="R54">
        <f t="shared" si="4"/>
        <v>194.80398015627046</v>
      </c>
      <c r="W54">
        <f t="shared" si="8"/>
        <v>0.114</v>
      </c>
      <c r="X54">
        <f t="shared" si="9"/>
        <v>190.79437541017927</v>
      </c>
      <c r="Y54">
        <f t="shared" si="5"/>
        <v>190.79437541017933</v>
      </c>
      <c r="AA54">
        <f t="shared" si="6"/>
        <v>184.55525541017931</v>
      </c>
      <c r="AB54">
        <f t="shared" si="7"/>
        <v>184.55525541017931</v>
      </c>
    </row>
    <row r="55" spans="1:28" x14ac:dyDescent="0.25">
      <c r="A55">
        <v>36921</v>
      </c>
      <c r="B55">
        <v>16.059999999999999</v>
      </c>
      <c r="C55">
        <v>-13.95</v>
      </c>
      <c r="D55">
        <v>4.2</v>
      </c>
      <c r="E55">
        <v>359.03</v>
      </c>
      <c r="F55">
        <v>121</v>
      </c>
      <c r="G55">
        <v>1</v>
      </c>
      <c r="H55">
        <v>3</v>
      </c>
      <c r="I55">
        <v>3</v>
      </c>
      <c r="L55">
        <f t="shared" si="0"/>
        <v>6.0069999999999997</v>
      </c>
      <c r="N55">
        <f t="shared" si="1"/>
        <v>-0.24761904761904752</v>
      </c>
      <c r="O55">
        <f t="shared" si="2"/>
        <v>0.93693693693693714</v>
      </c>
      <c r="Q55">
        <f t="shared" si="3"/>
        <v>-165.19601984372954</v>
      </c>
      <c r="R55">
        <f t="shared" si="4"/>
        <v>194.80398015627046</v>
      </c>
      <c r="W55">
        <f t="shared" si="8"/>
        <v>0.114</v>
      </c>
      <c r="X55">
        <f t="shared" si="9"/>
        <v>188.96353541017928</v>
      </c>
      <c r="Y55">
        <f t="shared" si="5"/>
        <v>188.96353541017925</v>
      </c>
      <c r="AA55">
        <f t="shared" si="6"/>
        <v>184.55525541017931</v>
      </c>
      <c r="AB55">
        <f t="shared" si="7"/>
        <v>184.55525541017931</v>
      </c>
    </row>
    <row r="56" spans="1:28" x14ac:dyDescent="0.25">
      <c r="A56">
        <v>37036</v>
      </c>
      <c r="B56">
        <v>36.24</v>
      </c>
      <c r="C56">
        <v>-12.15</v>
      </c>
      <c r="D56">
        <v>2.7</v>
      </c>
      <c r="E56">
        <v>358.96</v>
      </c>
      <c r="F56">
        <v>113</v>
      </c>
      <c r="G56">
        <v>1</v>
      </c>
      <c r="H56">
        <v>3</v>
      </c>
      <c r="I56">
        <v>3</v>
      </c>
      <c r="L56">
        <f t="shared" si="0"/>
        <v>6.1219999999999999</v>
      </c>
      <c r="N56">
        <f t="shared" si="1"/>
        <v>-0.1333333333333333</v>
      </c>
      <c r="O56">
        <f t="shared" si="2"/>
        <v>0.84684684684684697</v>
      </c>
      <c r="Q56">
        <f t="shared" si="3"/>
        <v>-171.05241524518436</v>
      </c>
      <c r="R56">
        <f t="shared" si="4"/>
        <v>188.94758475481564</v>
      </c>
      <c r="W56">
        <f t="shared" si="8"/>
        <v>0.115</v>
      </c>
      <c r="X56">
        <f t="shared" si="9"/>
        <v>184.79593541017928</v>
      </c>
      <c r="Y56">
        <f t="shared" si="5"/>
        <v>184.79593541017925</v>
      </c>
      <c r="AA56">
        <f t="shared" si="6"/>
        <v>184.62525541017931</v>
      </c>
      <c r="AB56">
        <f t="shared" si="7"/>
        <v>184.62525541017931</v>
      </c>
    </row>
    <row r="57" spans="1:28" x14ac:dyDescent="0.25">
      <c r="A57">
        <v>37151</v>
      </c>
      <c r="B57">
        <v>51.08</v>
      </c>
      <c r="C57">
        <v>-11.1</v>
      </c>
      <c r="D57">
        <v>3</v>
      </c>
      <c r="E57">
        <v>358.3</v>
      </c>
      <c r="F57">
        <v>104</v>
      </c>
      <c r="G57">
        <v>1</v>
      </c>
      <c r="H57">
        <v>3</v>
      </c>
      <c r="I57">
        <v>4</v>
      </c>
      <c r="L57">
        <f t="shared" si="0"/>
        <v>6.2370000000000001</v>
      </c>
      <c r="N57">
        <f t="shared" si="1"/>
        <v>-6.6666666666666596E-2</v>
      </c>
      <c r="O57">
        <f t="shared" si="2"/>
        <v>0.86486486486486491</v>
      </c>
      <c r="Q57">
        <f t="shared" si="3"/>
        <v>-175.59216675285404</v>
      </c>
      <c r="R57">
        <f t="shared" si="4"/>
        <v>184.40783324714596</v>
      </c>
      <c r="W57">
        <f t="shared" si="8"/>
        <v>0.115</v>
      </c>
      <c r="X57">
        <f t="shared" si="9"/>
        <v>178.92173541017928</v>
      </c>
      <c r="Y57">
        <f t="shared" si="5"/>
        <v>178.92173541017928</v>
      </c>
      <c r="AA57">
        <f t="shared" si="6"/>
        <v>185.28525541017927</v>
      </c>
      <c r="AB57">
        <f t="shared" si="7"/>
        <v>185.28525541017927</v>
      </c>
    </row>
    <row r="58" spans="1:28" x14ac:dyDescent="0.25">
      <c r="A58">
        <v>37265</v>
      </c>
      <c r="B58">
        <v>73.260000000000005</v>
      </c>
      <c r="C58">
        <v>-10.5</v>
      </c>
      <c r="D58">
        <v>3</v>
      </c>
      <c r="E58">
        <v>356.99</v>
      </c>
      <c r="F58">
        <v>79</v>
      </c>
      <c r="G58">
        <v>1</v>
      </c>
      <c r="H58">
        <v>3</v>
      </c>
      <c r="I58">
        <v>5</v>
      </c>
      <c r="L58">
        <f t="shared" si="0"/>
        <v>6.351</v>
      </c>
      <c r="N58">
        <f t="shared" si="1"/>
        <v>-2.8571428571428525E-2</v>
      </c>
      <c r="O58">
        <f t="shared" si="2"/>
        <v>0.86486486486486491</v>
      </c>
      <c r="Q58">
        <f t="shared" si="3"/>
        <v>-178.10788112464107</v>
      </c>
      <c r="R58">
        <f t="shared" si="4"/>
        <v>181.89211887535893</v>
      </c>
      <c r="W58">
        <f t="shared" si="8"/>
        <v>0.114</v>
      </c>
      <c r="X58">
        <f t="shared" si="9"/>
        <v>170.57009541017928</v>
      </c>
      <c r="Y58">
        <f t="shared" si="5"/>
        <v>170.57009541017931</v>
      </c>
      <c r="AA58">
        <f t="shared" si="6"/>
        <v>186.59525541017928</v>
      </c>
      <c r="AB58">
        <f t="shared" si="7"/>
        <v>186.59525541017928</v>
      </c>
    </row>
    <row r="59" spans="1:28" x14ac:dyDescent="0.25">
      <c r="A59">
        <v>37379</v>
      </c>
      <c r="B59">
        <v>75.73</v>
      </c>
      <c r="C59">
        <v>-7.2</v>
      </c>
      <c r="D59">
        <v>4.5</v>
      </c>
      <c r="E59">
        <v>355.82</v>
      </c>
      <c r="F59">
        <v>45</v>
      </c>
      <c r="G59">
        <v>2</v>
      </c>
      <c r="H59">
        <v>4</v>
      </c>
      <c r="I59">
        <v>5</v>
      </c>
      <c r="L59">
        <f t="shared" si="0"/>
        <v>6.4649999999999999</v>
      </c>
      <c r="N59">
        <f t="shared" si="1"/>
        <v>0.18095238095238098</v>
      </c>
      <c r="O59">
        <f t="shared" si="2"/>
        <v>0.95495495495495508</v>
      </c>
      <c r="Q59">
        <f t="shared" si="3"/>
        <v>169.27035605186956</v>
      </c>
      <c r="R59">
        <f t="shared" si="4"/>
        <v>169.27035605186956</v>
      </c>
      <c r="W59">
        <f t="shared" si="8"/>
        <v>0.114</v>
      </c>
      <c r="X59">
        <f t="shared" si="9"/>
        <v>161.93687541017928</v>
      </c>
      <c r="Y59">
        <f t="shared" si="5"/>
        <v>161.93687541017925</v>
      </c>
      <c r="AA59">
        <f t="shared" si="6"/>
        <v>187.76525541017929</v>
      </c>
      <c r="AB59">
        <f t="shared" si="7"/>
        <v>187.76525541017929</v>
      </c>
    </row>
    <row r="60" spans="1:28" x14ac:dyDescent="0.25">
      <c r="A60">
        <v>37491</v>
      </c>
      <c r="B60">
        <v>75.08</v>
      </c>
      <c r="C60">
        <v>-4.8</v>
      </c>
      <c r="D60">
        <v>1.5</v>
      </c>
      <c r="E60">
        <v>14.93</v>
      </c>
      <c r="F60">
        <v>20</v>
      </c>
      <c r="G60">
        <v>10</v>
      </c>
      <c r="H60">
        <v>5</v>
      </c>
      <c r="I60">
        <v>6</v>
      </c>
      <c r="L60">
        <f t="shared" si="0"/>
        <v>6.577</v>
      </c>
      <c r="N60">
        <f t="shared" si="1"/>
        <v>0.33333333333333337</v>
      </c>
      <c r="O60">
        <f t="shared" si="2"/>
        <v>0.77477477477477485</v>
      </c>
      <c r="Q60">
        <f t="shared" si="3"/>
        <v>156.72105080199734</v>
      </c>
      <c r="R60">
        <f t="shared" si="4"/>
        <v>156.72105080199734</v>
      </c>
      <c r="W60">
        <f t="shared" si="8"/>
        <v>0.112</v>
      </c>
      <c r="X60">
        <f t="shared" si="9"/>
        <v>153.52791541017928</v>
      </c>
      <c r="Y60">
        <f t="shared" si="5"/>
        <v>153.52791541017928</v>
      </c>
      <c r="AA60">
        <f t="shared" si="6"/>
        <v>528.65525541017928</v>
      </c>
      <c r="AB60">
        <f t="shared" si="7"/>
        <v>168.65525541017928</v>
      </c>
    </row>
    <row r="61" spans="1:28" x14ac:dyDescent="0.25">
      <c r="A61">
        <v>37604</v>
      </c>
      <c r="B61">
        <v>76.89</v>
      </c>
      <c r="C61">
        <v>-4.5</v>
      </c>
      <c r="D61">
        <v>2.5499999999999998</v>
      </c>
      <c r="E61">
        <v>91.64</v>
      </c>
      <c r="F61">
        <v>4</v>
      </c>
      <c r="G61">
        <v>42</v>
      </c>
      <c r="H61">
        <v>5</v>
      </c>
      <c r="I61">
        <v>7</v>
      </c>
      <c r="L61">
        <f t="shared" si="0"/>
        <v>6.69</v>
      </c>
      <c r="N61">
        <f t="shared" si="1"/>
        <v>0.35238095238095241</v>
      </c>
      <c r="O61">
        <f t="shared" si="2"/>
        <v>0.83783783783783783</v>
      </c>
      <c r="Q61">
        <f t="shared" si="3"/>
        <v>157.18917062967046</v>
      </c>
      <c r="R61">
        <f t="shared" si="4"/>
        <v>157.18917062967046</v>
      </c>
      <c r="W61">
        <f t="shared" si="8"/>
        <v>0.113</v>
      </c>
      <c r="X61">
        <f t="shared" si="9"/>
        <v>144.83934541017928</v>
      </c>
      <c r="Y61">
        <f t="shared" si="5"/>
        <v>144.83934541017925</v>
      </c>
      <c r="AA61">
        <f t="shared" si="6"/>
        <v>451.9452554101793</v>
      </c>
      <c r="AB61">
        <f t="shared" si="7"/>
        <v>91.9452554101793</v>
      </c>
    </row>
    <row r="62" spans="1:28" x14ac:dyDescent="0.25">
      <c r="A62">
        <v>37715</v>
      </c>
      <c r="B62">
        <v>76.37</v>
      </c>
      <c r="C62">
        <v>-1.2</v>
      </c>
      <c r="D62">
        <v>0.9</v>
      </c>
      <c r="E62">
        <v>90.87</v>
      </c>
      <c r="F62">
        <v>4</v>
      </c>
      <c r="G62">
        <v>72</v>
      </c>
      <c r="H62">
        <v>5</v>
      </c>
      <c r="I62">
        <v>6</v>
      </c>
      <c r="L62">
        <f t="shared" si="0"/>
        <v>6.8010000000000002</v>
      </c>
      <c r="N62">
        <f t="shared" si="1"/>
        <v>0.56190476190476202</v>
      </c>
      <c r="O62">
        <f t="shared" si="2"/>
        <v>0.73873873873873885</v>
      </c>
      <c r="Q62">
        <f t="shared" si="3"/>
        <v>142.74239486011203</v>
      </c>
      <c r="R62">
        <f t="shared" si="4"/>
        <v>142.74239486011203</v>
      </c>
      <c r="W62">
        <f t="shared" si="8"/>
        <v>0.111</v>
      </c>
      <c r="X62">
        <f t="shared" si="9"/>
        <v>136.36227541017928</v>
      </c>
      <c r="Y62">
        <f t="shared" si="5"/>
        <v>136.36227541017928</v>
      </c>
      <c r="AA62">
        <f t="shared" si="6"/>
        <v>452.71525541017928</v>
      </c>
      <c r="AB62">
        <f t="shared" si="7"/>
        <v>92.715255410179282</v>
      </c>
    </row>
    <row r="63" spans="1:28" x14ac:dyDescent="0.25">
      <c r="A63">
        <v>37827</v>
      </c>
      <c r="B63">
        <v>77.599999999999994</v>
      </c>
      <c r="C63">
        <v>0.45</v>
      </c>
      <c r="D63">
        <v>1.5</v>
      </c>
      <c r="E63">
        <v>91.35</v>
      </c>
      <c r="F63">
        <v>2</v>
      </c>
      <c r="G63">
        <v>90</v>
      </c>
      <c r="H63">
        <v>4</v>
      </c>
      <c r="I63">
        <v>5</v>
      </c>
      <c r="L63">
        <f t="shared" si="0"/>
        <v>6.9130000000000003</v>
      </c>
      <c r="N63">
        <f t="shared" si="1"/>
        <v>0.66666666666666663</v>
      </c>
      <c r="O63">
        <f t="shared" si="2"/>
        <v>0.77477477477477485</v>
      </c>
      <c r="Q63">
        <f t="shared" si="3"/>
        <v>139.28915332881903</v>
      </c>
      <c r="R63">
        <f t="shared" si="4"/>
        <v>139.28915332881903</v>
      </c>
      <c r="W63">
        <f t="shared" si="8"/>
        <v>0.112</v>
      </c>
      <c r="X63">
        <f t="shared" si="9"/>
        <v>127.67107541017928</v>
      </c>
      <c r="Y63">
        <f t="shared" si="5"/>
        <v>127.6710754101793</v>
      </c>
      <c r="AA63">
        <f t="shared" si="6"/>
        <v>452.23525541017926</v>
      </c>
      <c r="AB63">
        <f t="shared" si="7"/>
        <v>92.235255410179263</v>
      </c>
    </row>
    <row r="64" spans="1:28" x14ac:dyDescent="0.25">
      <c r="A64">
        <v>37937</v>
      </c>
      <c r="B64">
        <v>79.89</v>
      </c>
      <c r="C64">
        <v>1.35</v>
      </c>
      <c r="D64">
        <v>-1.8</v>
      </c>
      <c r="E64">
        <v>91.18</v>
      </c>
      <c r="F64">
        <v>1</v>
      </c>
      <c r="G64">
        <v>101</v>
      </c>
      <c r="H64">
        <v>3</v>
      </c>
      <c r="I64">
        <v>4</v>
      </c>
      <c r="L64">
        <f t="shared" si="0"/>
        <v>7.0229999999999997</v>
      </c>
      <c r="N64">
        <f t="shared" si="1"/>
        <v>0.72380952380952379</v>
      </c>
      <c r="O64">
        <f t="shared" si="2"/>
        <v>0.57657657657657657</v>
      </c>
      <c r="Q64">
        <f t="shared" si="3"/>
        <v>128.54033851339295</v>
      </c>
      <c r="R64">
        <f t="shared" si="4"/>
        <v>128.54033851339295</v>
      </c>
      <c r="W64">
        <f t="shared" si="8"/>
        <v>0.11</v>
      </c>
      <c r="X64">
        <f t="shared" si="9"/>
        <v>118.88317541017929</v>
      </c>
      <c r="Y64">
        <f t="shared" si="5"/>
        <v>118.88317541017932</v>
      </c>
      <c r="AA64">
        <f t="shared" si="6"/>
        <v>452.40525541017928</v>
      </c>
      <c r="AB64">
        <f t="shared" si="7"/>
        <v>92.405255410179279</v>
      </c>
    </row>
    <row r="65" spans="1:28" x14ac:dyDescent="0.25">
      <c r="A65">
        <v>38050</v>
      </c>
      <c r="B65">
        <v>77.040000000000006</v>
      </c>
      <c r="C65">
        <v>2.25</v>
      </c>
      <c r="D65">
        <v>-3</v>
      </c>
      <c r="E65">
        <v>90.63</v>
      </c>
      <c r="F65">
        <v>2</v>
      </c>
      <c r="G65">
        <v>95</v>
      </c>
      <c r="H65">
        <v>3</v>
      </c>
      <c r="I65">
        <v>4</v>
      </c>
      <c r="L65">
        <f t="shared" si="0"/>
        <v>7.1360000000000001</v>
      </c>
      <c r="N65">
        <f t="shared" si="1"/>
        <v>0.78095238095238095</v>
      </c>
      <c r="O65">
        <f t="shared" si="2"/>
        <v>0.50450450450450457</v>
      </c>
      <c r="Q65">
        <f t="shared" si="3"/>
        <v>122.86293972175872</v>
      </c>
      <c r="R65">
        <f t="shared" si="4"/>
        <v>122.86293972175872</v>
      </c>
      <c r="W65">
        <f t="shared" si="8"/>
        <v>0.113</v>
      </c>
      <c r="X65">
        <f t="shared" si="9"/>
        <v>110.17765541017928</v>
      </c>
      <c r="Y65">
        <f t="shared" si="5"/>
        <v>110.17765541017928</v>
      </c>
      <c r="AA65">
        <f t="shared" si="6"/>
        <v>452.95525541017929</v>
      </c>
      <c r="AB65">
        <f t="shared" si="7"/>
        <v>92.955255410179291</v>
      </c>
    </row>
    <row r="66" spans="1:28" x14ac:dyDescent="0.25">
      <c r="A66">
        <v>38161</v>
      </c>
      <c r="B66">
        <v>78.63</v>
      </c>
      <c r="C66">
        <v>3.3</v>
      </c>
      <c r="D66">
        <v>-6</v>
      </c>
      <c r="E66">
        <v>90.72</v>
      </c>
      <c r="F66">
        <v>2</v>
      </c>
      <c r="G66">
        <v>83</v>
      </c>
      <c r="H66">
        <v>3</v>
      </c>
      <c r="I66">
        <v>3</v>
      </c>
      <c r="L66">
        <f t="shared" si="0"/>
        <v>7.2469999999999999</v>
      </c>
      <c r="N66">
        <f t="shared" si="1"/>
        <v>0.84761904761904772</v>
      </c>
      <c r="O66">
        <f t="shared" si="2"/>
        <v>0.3243243243243244</v>
      </c>
      <c r="Q66">
        <f t="shared" si="3"/>
        <v>110.938341089254</v>
      </c>
      <c r="R66">
        <f t="shared" si="4"/>
        <v>110.938341089254</v>
      </c>
      <c r="W66">
        <f t="shared" si="8"/>
        <v>0.111</v>
      </c>
      <c r="X66">
        <f t="shared" si="9"/>
        <v>101.44972541017928</v>
      </c>
      <c r="Y66">
        <f t="shared" si="5"/>
        <v>101.44972541017927</v>
      </c>
      <c r="AA66">
        <f t="shared" si="6"/>
        <v>452.86525541017926</v>
      </c>
      <c r="AB66">
        <f t="shared" si="7"/>
        <v>92.865255410179259</v>
      </c>
    </row>
    <row r="67" spans="1:28" x14ac:dyDescent="0.25">
      <c r="A67">
        <v>38272</v>
      </c>
      <c r="B67">
        <v>75.819999999999993</v>
      </c>
      <c r="C67">
        <v>4.2</v>
      </c>
      <c r="D67">
        <v>-8.4</v>
      </c>
      <c r="E67">
        <v>90</v>
      </c>
      <c r="F67">
        <v>3</v>
      </c>
      <c r="G67">
        <v>69</v>
      </c>
      <c r="H67">
        <v>3</v>
      </c>
      <c r="I67">
        <v>3</v>
      </c>
      <c r="L67">
        <f t="shared" ref="L67:L130" si="10">(A67-$A$2)/1000</f>
        <v>7.3579999999999997</v>
      </c>
      <c r="N67">
        <f t="shared" ref="N67:N130" si="11">(C67-$U$3)/((MAX(C:C)-MIN(C:C))/2)</f>
        <v>0.90476190476190477</v>
      </c>
      <c r="O67">
        <f t="shared" ref="O67:O130" si="12">(D67-$U$4)/((MAX(D:D)-MIN(D:D))/2)</f>
        <v>0.1801801801801802</v>
      </c>
      <c r="Q67">
        <f t="shared" ref="Q67:Q130" si="13">ATAN2(-O67,N67)*180/PI()</f>
        <v>101.26290448498082</v>
      </c>
      <c r="R67">
        <f t="shared" ref="R67:R130" si="14">IF(Q67&lt;0,Q67+360,Q67)</f>
        <v>101.26290448498082</v>
      </c>
      <c r="W67">
        <f t="shared" si="8"/>
        <v>0.111</v>
      </c>
      <c r="X67">
        <f t="shared" si="9"/>
        <v>93.03370541017928</v>
      </c>
      <c r="Y67">
        <f t="shared" ref="Y67:Y130" si="15">MOD((MOD(X67,360)+360),360)</f>
        <v>93.033705410179266</v>
      </c>
      <c r="AA67">
        <f t="shared" ref="AA67:AA130" si="16">-E67+$E$2+$R$2</f>
        <v>453.58525541017929</v>
      </c>
      <c r="AB67">
        <f t="shared" ref="AB67:AB130" si="17">IF(AA67&gt;360,AA67-360,AA67)</f>
        <v>93.585255410179286</v>
      </c>
    </row>
    <row r="68" spans="1:28" x14ac:dyDescent="0.25">
      <c r="A68">
        <v>38384</v>
      </c>
      <c r="B68">
        <v>77.33</v>
      </c>
      <c r="C68">
        <v>3.6</v>
      </c>
      <c r="D68">
        <v>-9.3000000000000007</v>
      </c>
      <c r="E68">
        <v>88.64</v>
      </c>
      <c r="F68">
        <v>4</v>
      </c>
      <c r="G68">
        <v>45</v>
      </c>
      <c r="H68">
        <v>3</v>
      </c>
      <c r="I68">
        <v>3</v>
      </c>
      <c r="L68">
        <f t="shared" si="10"/>
        <v>7.47</v>
      </c>
      <c r="N68">
        <f t="shared" si="11"/>
        <v>0.8666666666666667</v>
      </c>
      <c r="O68">
        <f t="shared" si="12"/>
        <v>0.12612612612612611</v>
      </c>
      <c r="Q68">
        <f t="shared" si="13"/>
        <v>98.28013460234142</v>
      </c>
      <c r="R68">
        <f t="shared" si="14"/>
        <v>98.28013460234142</v>
      </c>
      <c r="W68">
        <f t="shared" ref="W68:W131" si="18">(A68-A67)/1000</f>
        <v>0.112</v>
      </c>
      <c r="X68">
        <f t="shared" ref="X68:X131" si="19">X67-B68*W68</f>
        <v>84.372745410179277</v>
      </c>
      <c r="Y68">
        <f t="shared" si="15"/>
        <v>84.372745410179277</v>
      </c>
      <c r="AA68">
        <f t="shared" si="16"/>
        <v>454.9452554101793</v>
      </c>
      <c r="AB68">
        <f t="shared" si="17"/>
        <v>94.9452554101793</v>
      </c>
    </row>
    <row r="69" spans="1:28" x14ac:dyDescent="0.25">
      <c r="A69">
        <v>38495</v>
      </c>
      <c r="B69">
        <v>78.53</v>
      </c>
      <c r="C69">
        <v>4.05</v>
      </c>
      <c r="D69">
        <v>-11.4</v>
      </c>
      <c r="E69">
        <v>90</v>
      </c>
      <c r="F69">
        <v>5</v>
      </c>
      <c r="G69">
        <v>38</v>
      </c>
      <c r="H69">
        <v>5</v>
      </c>
      <c r="I69">
        <v>3</v>
      </c>
      <c r="L69">
        <f t="shared" si="10"/>
        <v>7.5810000000000004</v>
      </c>
      <c r="N69">
        <f t="shared" si="11"/>
        <v>0.89523809523809528</v>
      </c>
      <c r="O69">
        <f t="shared" si="12"/>
        <v>0</v>
      </c>
      <c r="Q69">
        <f t="shared" si="13"/>
        <v>90</v>
      </c>
      <c r="R69">
        <f t="shared" si="14"/>
        <v>90</v>
      </c>
      <c r="W69">
        <f t="shared" si="18"/>
        <v>0.111</v>
      </c>
      <c r="X69">
        <f t="shared" si="19"/>
        <v>75.655915410179276</v>
      </c>
      <c r="Y69">
        <f t="shared" si="15"/>
        <v>75.655915410179261</v>
      </c>
      <c r="AA69">
        <f t="shared" si="16"/>
        <v>453.58525541017929</v>
      </c>
      <c r="AB69">
        <f t="shared" si="17"/>
        <v>93.585255410179286</v>
      </c>
    </row>
    <row r="70" spans="1:28" x14ac:dyDescent="0.25">
      <c r="A70">
        <v>38608</v>
      </c>
      <c r="B70">
        <v>75.11</v>
      </c>
      <c r="C70">
        <v>4.3499999999999996</v>
      </c>
      <c r="D70">
        <v>-14.7</v>
      </c>
      <c r="E70">
        <v>129.81</v>
      </c>
      <c r="F70">
        <v>6</v>
      </c>
      <c r="G70">
        <v>21</v>
      </c>
      <c r="H70">
        <v>21</v>
      </c>
      <c r="I70">
        <v>3</v>
      </c>
      <c r="L70">
        <f t="shared" si="10"/>
        <v>7.694</v>
      </c>
      <c r="N70">
        <f t="shared" si="11"/>
        <v>0.91428571428571426</v>
      </c>
      <c r="O70">
        <f t="shared" si="12"/>
        <v>-0.19819819819819814</v>
      </c>
      <c r="Q70">
        <f t="shared" si="13"/>
        <v>77.768714555013091</v>
      </c>
      <c r="R70">
        <f t="shared" si="14"/>
        <v>77.768714555013091</v>
      </c>
      <c r="W70">
        <f t="shared" si="18"/>
        <v>0.113</v>
      </c>
      <c r="X70">
        <f t="shared" si="19"/>
        <v>67.168485410179272</v>
      </c>
      <c r="Y70">
        <f t="shared" si="15"/>
        <v>67.168485410179301</v>
      </c>
      <c r="AA70">
        <f t="shared" si="16"/>
        <v>413.77525541017928</v>
      </c>
      <c r="AB70">
        <f t="shared" si="17"/>
        <v>53.775255410179284</v>
      </c>
    </row>
    <row r="71" spans="1:28" x14ac:dyDescent="0.25">
      <c r="A71">
        <v>38722</v>
      </c>
      <c r="B71">
        <v>79.45</v>
      </c>
      <c r="C71">
        <v>4.5</v>
      </c>
      <c r="D71">
        <v>-17.850000000000001</v>
      </c>
      <c r="E71">
        <v>175.49</v>
      </c>
      <c r="F71">
        <v>6</v>
      </c>
      <c r="G71">
        <v>6</v>
      </c>
      <c r="H71">
        <v>44</v>
      </c>
      <c r="I71">
        <v>3</v>
      </c>
      <c r="L71">
        <f t="shared" si="10"/>
        <v>7.8079999999999998</v>
      </c>
      <c r="N71">
        <f t="shared" si="11"/>
        <v>0.92380952380952386</v>
      </c>
      <c r="O71">
        <f t="shared" si="12"/>
        <v>-0.38738738738738748</v>
      </c>
      <c r="Q71">
        <f t="shared" si="13"/>
        <v>67.249899578748298</v>
      </c>
      <c r="R71">
        <f t="shared" si="14"/>
        <v>67.249899578748298</v>
      </c>
      <c r="W71">
        <f t="shared" si="18"/>
        <v>0.114</v>
      </c>
      <c r="X71">
        <f t="shared" si="19"/>
        <v>58.111185410179274</v>
      </c>
      <c r="Y71">
        <f t="shared" si="15"/>
        <v>58.111185410179246</v>
      </c>
      <c r="AA71">
        <f t="shared" si="16"/>
        <v>368.09525541017928</v>
      </c>
      <c r="AB71">
        <f t="shared" si="17"/>
        <v>8.0952554101792771</v>
      </c>
    </row>
    <row r="72" spans="1:28" x14ac:dyDescent="0.25">
      <c r="A72">
        <v>38836</v>
      </c>
      <c r="B72">
        <v>76.66</v>
      </c>
      <c r="C72">
        <v>2.4</v>
      </c>
      <c r="D72">
        <v>-17.100000000000001</v>
      </c>
      <c r="E72">
        <v>180</v>
      </c>
      <c r="F72">
        <v>6</v>
      </c>
      <c r="G72">
        <v>2</v>
      </c>
      <c r="H72">
        <v>64</v>
      </c>
      <c r="I72">
        <v>2</v>
      </c>
      <c r="L72">
        <f t="shared" si="10"/>
        <v>7.9219999999999997</v>
      </c>
      <c r="N72">
        <f t="shared" si="11"/>
        <v>0.79047619047619055</v>
      </c>
      <c r="O72">
        <f t="shared" si="12"/>
        <v>-0.34234234234234245</v>
      </c>
      <c r="Q72">
        <f t="shared" si="13"/>
        <v>66.583350719945813</v>
      </c>
      <c r="R72">
        <f t="shared" si="14"/>
        <v>66.583350719945813</v>
      </c>
      <c r="W72">
        <f t="shared" si="18"/>
        <v>0.114</v>
      </c>
      <c r="X72">
        <f t="shared" si="19"/>
        <v>49.371945410179272</v>
      </c>
      <c r="Y72">
        <f t="shared" si="15"/>
        <v>49.371945410179251</v>
      </c>
      <c r="AA72">
        <f t="shared" si="16"/>
        <v>363.58525541017929</v>
      </c>
      <c r="AB72">
        <f t="shared" si="17"/>
        <v>3.5852554101792862</v>
      </c>
    </row>
    <row r="73" spans="1:28" x14ac:dyDescent="0.25">
      <c r="A73">
        <v>38950</v>
      </c>
      <c r="B73">
        <v>76.27</v>
      </c>
      <c r="C73">
        <v>1.35</v>
      </c>
      <c r="D73">
        <v>-21.15</v>
      </c>
      <c r="E73">
        <v>180.78</v>
      </c>
      <c r="F73">
        <v>5</v>
      </c>
      <c r="G73">
        <v>1</v>
      </c>
      <c r="H73">
        <v>78</v>
      </c>
      <c r="I73">
        <v>2</v>
      </c>
      <c r="L73">
        <f t="shared" si="10"/>
        <v>8.0359999999999996</v>
      </c>
      <c r="N73">
        <f t="shared" si="11"/>
        <v>0.72380952380952379</v>
      </c>
      <c r="O73">
        <f t="shared" si="12"/>
        <v>-0.58558558558558549</v>
      </c>
      <c r="Q73">
        <f t="shared" si="13"/>
        <v>51.026008193899081</v>
      </c>
      <c r="R73">
        <f t="shared" si="14"/>
        <v>51.026008193899081</v>
      </c>
      <c r="W73">
        <f t="shared" si="18"/>
        <v>0.114</v>
      </c>
      <c r="X73">
        <f t="shared" si="19"/>
        <v>40.677165410179271</v>
      </c>
      <c r="Y73">
        <f t="shared" si="15"/>
        <v>40.677165410179271</v>
      </c>
      <c r="AA73">
        <f t="shared" si="16"/>
        <v>362.80525541017926</v>
      </c>
      <c r="AB73">
        <f t="shared" si="17"/>
        <v>2.8052554101792566</v>
      </c>
    </row>
    <row r="74" spans="1:28" x14ac:dyDescent="0.25">
      <c r="A74">
        <v>39063</v>
      </c>
      <c r="B74">
        <v>77.98</v>
      </c>
      <c r="C74">
        <v>-0.15</v>
      </c>
      <c r="D74">
        <v>-22.05</v>
      </c>
      <c r="E74">
        <v>180</v>
      </c>
      <c r="F74">
        <v>4</v>
      </c>
      <c r="G74">
        <v>2</v>
      </c>
      <c r="H74">
        <v>85</v>
      </c>
      <c r="I74">
        <v>2</v>
      </c>
      <c r="L74">
        <f t="shared" si="10"/>
        <v>8.1489999999999991</v>
      </c>
      <c r="N74">
        <f t="shared" si="11"/>
        <v>0.62857142857142856</v>
      </c>
      <c r="O74">
        <f t="shared" si="12"/>
        <v>-0.63963963963963977</v>
      </c>
      <c r="Q74">
        <f t="shared" si="13"/>
        <v>44.499968343848053</v>
      </c>
      <c r="R74">
        <f t="shared" si="14"/>
        <v>44.499968343848053</v>
      </c>
      <c r="W74">
        <f t="shared" si="18"/>
        <v>0.113</v>
      </c>
      <c r="X74">
        <f t="shared" si="19"/>
        <v>31.86542541017927</v>
      </c>
      <c r="Y74">
        <f t="shared" si="15"/>
        <v>31.865425410179284</v>
      </c>
      <c r="AA74">
        <f t="shared" si="16"/>
        <v>363.58525541017929</v>
      </c>
      <c r="AB74">
        <f t="shared" si="17"/>
        <v>3.5852554101792862</v>
      </c>
    </row>
    <row r="75" spans="1:28" x14ac:dyDescent="0.25">
      <c r="A75">
        <v>39178</v>
      </c>
      <c r="B75">
        <v>77.510000000000005</v>
      </c>
      <c r="C75">
        <v>-0.6</v>
      </c>
      <c r="D75">
        <v>-22.95</v>
      </c>
      <c r="E75">
        <v>180</v>
      </c>
      <c r="F75">
        <v>3</v>
      </c>
      <c r="G75">
        <v>2</v>
      </c>
      <c r="H75">
        <v>84</v>
      </c>
      <c r="I75">
        <v>2</v>
      </c>
      <c r="L75">
        <f t="shared" si="10"/>
        <v>8.2639999999999993</v>
      </c>
      <c r="N75">
        <f t="shared" si="11"/>
        <v>0.60000000000000009</v>
      </c>
      <c r="O75">
        <f t="shared" si="12"/>
        <v>-0.69369369369369371</v>
      </c>
      <c r="Q75">
        <f t="shared" si="13"/>
        <v>40.857677201808947</v>
      </c>
      <c r="R75">
        <f t="shared" si="14"/>
        <v>40.857677201808947</v>
      </c>
      <c r="W75">
        <f t="shared" si="18"/>
        <v>0.115</v>
      </c>
      <c r="X75">
        <f t="shared" si="19"/>
        <v>22.95177541017927</v>
      </c>
      <c r="Y75">
        <f t="shared" si="15"/>
        <v>22.951775410179266</v>
      </c>
      <c r="AA75">
        <f t="shared" si="16"/>
        <v>363.58525541017929</v>
      </c>
      <c r="AB75">
        <f t="shared" si="17"/>
        <v>3.5852554101792862</v>
      </c>
    </row>
    <row r="76" spans="1:28" x14ac:dyDescent="0.25">
      <c r="A76">
        <v>39292</v>
      </c>
      <c r="B76">
        <v>78.400000000000006</v>
      </c>
      <c r="C76">
        <v>-3</v>
      </c>
      <c r="D76">
        <v>-24.6</v>
      </c>
      <c r="E76">
        <v>178.39</v>
      </c>
      <c r="F76">
        <v>3</v>
      </c>
      <c r="G76">
        <v>3</v>
      </c>
      <c r="H76">
        <v>74</v>
      </c>
      <c r="I76">
        <v>1</v>
      </c>
      <c r="L76">
        <f t="shared" si="10"/>
        <v>8.3780000000000001</v>
      </c>
      <c r="N76">
        <f t="shared" si="11"/>
        <v>0.44761904761904764</v>
      </c>
      <c r="O76">
        <f t="shared" si="12"/>
        <v>-0.79279279279279291</v>
      </c>
      <c r="Q76">
        <f t="shared" si="13"/>
        <v>29.449524129625701</v>
      </c>
      <c r="R76">
        <f t="shared" si="14"/>
        <v>29.449524129625701</v>
      </c>
      <c r="W76">
        <f t="shared" si="18"/>
        <v>0.114</v>
      </c>
      <c r="X76">
        <f t="shared" si="19"/>
        <v>14.014175410179268</v>
      </c>
      <c r="Y76">
        <f t="shared" si="15"/>
        <v>14.014175410179291</v>
      </c>
      <c r="AA76">
        <f t="shared" si="16"/>
        <v>365.1952554101793</v>
      </c>
      <c r="AB76">
        <f t="shared" si="17"/>
        <v>5.1952554101792998</v>
      </c>
    </row>
    <row r="77" spans="1:28" x14ac:dyDescent="0.25">
      <c r="A77">
        <v>39407</v>
      </c>
      <c r="B77">
        <v>76.27</v>
      </c>
      <c r="C77">
        <v>-4.3499999999999996</v>
      </c>
      <c r="D77">
        <v>-23.85</v>
      </c>
      <c r="E77">
        <v>56.31</v>
      </c>
      <c r="F77">
        <v>3</v>
      </c>
      <c r="G77">
        <v>4</v>
      </c>
      <c r="H77">
        <v>1</v>
      </c>
      <c r="I77">
        <v>1</v>
      </c>
      <c r="L77">
        <f t="shared" si="10"/>
        <v>8.4930000000000003</v>
      </c>
      <c r="N77">
        <f t="shared" si="11"/>
        <v>0.36190476190476195</v>
      </c>
      <c r="O77">
        <f t="shared" si="12"/>
        <v>-0.74774774774774788</v>
      </c>
      <c r="Q77">
        <f t="shared" si="13"/>
        <v>25.826662526824002</v>
      </c>
      <c r="R77">
        <f t="shared" si="14"/>
        <v>25.826662526824002</v>
      </c>
      <c r="W77">
        <f t="shared" si="18"/>
        <v>0.115</v>
      </c>
      <c r="X77">
        <f t="shared" si="19"/>
        <v>5.2431254101792675</v>
      </c>
      <c r="Y77">
        <f t="shared" si="15"/>
        <v>5.2431254101792888</v>
      </c>
      <c r="AA77">
        <f t="shared" si="16"/>
        <v>487.27525541017928</v>
      </c>
      <c r="AB77">
        <f t="shared" si="17"/>
        <v>127.27525541017928</v>
      </c>
    </row>
    <row r="78" spans="1:28" x14ac:dyDescent="0.25">
      <c r="A78">
        <v>39519</v>
      </c>
      <c r="B78">
        <v>75.760000000000005</v>
      </c>
      <c r="C78">
        <v>-6.3</v>
      </c>
      <c r="D78">
        <v>-27</v>
      </c>
      <c r="E78">
        <v>176.27</v>
      </c>
      <c r="F78">
        <v>2</v>
      </c>
      <c r="G78">
        <v>4</v>
      </c>
      <c r="H78">
        <v>48</v>
      </c>
      <c r="I78">
        <v>1</v>
      </c>
      <c r="L78">
        <f t="shared" si="10"/>
        <v>8.6050000000000004</v>
      </c>
      <c r="N78">
        <f t="shared" si="11"/>
        <v>0.23809523809523817</v>
      </c>
      <c r="O78">
        <f t="shared" si="12"/>
        <v>-0.93693693693693703</v>
      </c>
      <c r="Q78">
        <f t="shared" si="13"/>
        <v>14.258247314669145</v>
      </c>
      <c r="R78">
        <f t="shared" si="14"/>
        <v>14.258247314669145</v>
      </c>
      <c r="W78">
        <f t="shared" si="18"/>
        <v>0.112</v>
      </c>
      <c r="X78">
        <f t="shared" si="19"/>
        <v>-3.2419945898207327</v>
      </c>
      <c r="Y78">
        <f t="shared" si="15"/>
        <v>356.75800541017929</v>
      </c>
      <c r="AA78">
        <f t="shared" si="16"/>
        <v>367.31525541017925</v>
      </c>
      <c r="AB78">
        <f t="shared" si="17"/>
        <v>7.3152554101792475</v>
      </c>
    </row>
    <row r="79" spans="1:28" x14ac:dyDescent="0.25">
      <c r="A79">
        <v>39634</v>
      </c>
      <c r="B79">
        <v>79.150000000000006</v>
      </c>
      <c r="C79">
        <v>-8.6999999999999993</v>
      </c>
      <c r="D79">
        <v>-25.65</v>
      </c>
      <c r="E79">
        <v>174.64</v>
      </c>
      <c r="F79">
        <v>2</v>
      </c>
      <c r="G79">
        <v>5</v>
      </c>
      <c r="H79">
        <v>34</v>
      </c>
      <c r="I79">
        <v>2</v>
      </c>
      <c r="L79">
        <f t="shared" si="10"/>
        <v>8.7200000000000006</v>
      </c>
      <c r="N79">
        <f t="shared" si="11"/>
        <v>8.5714285714285798E-2</v>
      </c>
      <c r="O79">
        <f t="shared" si="12"/>
        <v>-0.85585585585585577</v>
      </c>
      <c r="Q79">
        <f t="shared" si="13"/>
        <v>5.7191236111157231</v>
      </c>
      <c r="R79">
        <f t="shared" si="14"/>
        <v>5.7191236111157231</v>
      </c>
      <c r="W79">
        <f t="shared" si="18"/>
        <v>0.115</v>
      </c>
      <c r="X79">
        <f t="shared" si="19"/>
        <v>-12.344244589820734</v>
      </c>
      <c r="Y79">
        <f t="shared" si="15"/>
        <v>347.65575541017927</v>
      </c>
      <c r="AA79">
        <f t="shared" si="16"/>
        <v>368.9452554101793</v>
      </c>
      <c r="AB79">
        <f t="shared" si="17"/>
        <v>8.9452554101792998</v>
      </c>
    </row>
    <row r="80" spans="1:28" x14ac:dyDescent="0.25">
      <c r="A80">
        <v>39749</v>
      </c>
      <c r="B80">
        <v>77.849999999999994</v>
      </c>
      <c r="C80">
        <v>-9.75</v>
      </c>
      <c r="D80">
        <v>-27.9</v>
      </c>
      <c r="E80">
        <v>173.99</v>
      </c>
      <c r="F80">
        <v>2</v>
      </c>
      <c r="G80">
        <v>6</v>
      </c>
      <c r="H80">
        <v>21</v>
      </c>
      <c r="I80">
        <v>4</v>
      </c>
      <c r="L80">
        <f t="shared" si="10"/>
        <v>8.8350000000000009</v>
      </c>
      <c r="N80">
        <f t="shared" si="11"/>
        <v>1.9047619047619094E-2</v>
      </c>
      <c r="O80">
        <f t="shared" si="12"/>
        <v>-0.99099099099099108</v>
      </c>
      <c r="Q80">
        <f t="shared" si="13"/>
        <v>1.1011339412895318</v>
      </c>
      <c r="R80">
        <f t="shared" si="14"/>
        <v>1.1011339412895318</v>
      </c>
      <c r="W80">
        <f t="shared" si="18"/>
        <v>0.115</v>
      </c>
      <c r="X80">
        <f t="shared" si="19"/>
        <v>-21.296994589820734</v>
      </c>
      <c r="Y80">
        <f t="shared" si="15"/>
        <v>338.70300541017923</v>
      </c>
      <c r="AA80">
        <f t="shared" si="16"/>
        <v>369.59525541017928</v>
      </c>
      <c r="AB80">
        <f t="shared" si="17"/>
        <v>9.5952554101792771</v>
      </c>
    </row>
    <row r="81" spans="1:28" x14ac:dyDescent="0.25">
      <c r="A81">
        <v>39863</v>
      </c>
      <c r="B81">
        <v>77.05</v>
      </c>
      <c r="C81">
        <v>-12.75</v>
      </c>
      <c r="D81">
        <v>-25.95</v>
      </c>
      <c r="E81">
        <v>225</v>
      </c>
      <c r="F81">
        <v>1</v>
      </c>
      <c r="G81">
        <v>6</v>
      </c>
      <c r="H81">
        <v>10</v>
      </c>
      <c r="I81">
        <v>15</v>
      </c>
      <c r="L81">
        <f t="shared" si="10"/>
        <v>8.9489999999999998</v>
      </c>
      <c r="N81">
        <f t="shared" si="11"/>
        <v>-0.17142857142857137</v>
      </c>
      <c r="O81">
        <f t="shared" si="12"/>
        <v>-0.87387387387387383</v>
      </c>
      <c r="Q81">
        <f t="shared" si="13"/>
        <v>-11.098821493078322</v>
      </c>
      <c r="R81">
        <f t="shared" si="14"/>
        <v>348.90117850692167</v>
      </c>
      <c r="W81">
        <f t="shared" si="18"/>
        <v>0.114</v>
      </c>
      <c r="X81">
        <f t="shared" si="19"/>
        <v>-30.080694589820734</v>
      </c>
      <c r="Y81">
        <f t="shared" si="15"/>
        <v>329.91930541017928</v>
      </c>
      <c r="AA81">
        <f t="shared" si="16"/>
        <v>318.58525541017929</v>
      </c>
      <c r="AB81">
        <f t="shared" si="17"/>
        <v>318.58525541017929</v>
      </c>
    </row>
    <row r="82" spans="1:28" x14ac:dyDescent="0.25">
      <c r="A82">
        <v>39980</v>
      </c>
      <c r="B82">
        <v>75.69</v>
      </c>
      <c r="C82">
        <v>-15</v>
      </c>
      <c r="D82">
        <v>-27.15</v>
      </c>
      <c r="E82">
        <v>265.43</v>
      </c>
      <c r="F82">
        <v>2</v>
      </c>
      <c r="G82">
        <v>6</v>
      </c>
      <c r="H82">
        <v>4</v>
      </c>
      <c r="I82">
        <v>31</v>
      </c>
      <c r="L82">
        <f t="shared" si="10"/>
        <v>9.0660000000000007</v>
      </c>
      <c r="N82">
        <f t="shared" si="11"/>
        <v>-0.31428571428571422</v>
      </c>
      <c r="O82">
        <f t="shared" si="12"/>
        <v>-0.94594594594594594</v>
      </c>
      <c r="Q82">
        <f t="shared" si="13"/>
        <v>-18.378804030002748</v>
      </c>
      <c r="R82">
        <f t="shared" si="14"/>
        <v>341.62119596999725</v>
      </c>
      <c r="W82">
        <f t="shared" si="18"/>
        <v>0.11700000000000001</v>
      </c>
      <c r="X82">
        <f t="shared" si="19"/>
        <v>-38.936424589820732</v>
      </c>
      <c r="Y82">
        <f t="shared" si="15"/>
        <v>321.06357541017928</v>
      </c>
      <c r="AA82">
        <f t="shared" si="16"/>
        <v>278.15525541017928</v>
      </c>
      <c r="AB82">
        <f t="shared" si="17"/>
        <v>278.15525541017928</v>
      </c>
    </row>
    <row r="83" spans="1:28" x14ac:dyDescent="0.25">
      <c r="A83">
        <v>40095</v>
      </c>
      <c r="B83">
        <v>79.150000000000006</v>
      </c>
      <c r="C83">
        <v>-16.5</v>
      </c>
      <c r="D83">
        <v>-24.9</v>
      </c>
      <c r="E83">
        <v>268.52999999999997</v>
      </c>
      <c r="F83">
        <v>2</v>
      </c>
      <c r="G83">
        <v>5</v>
      </c>
      <c r="H83">
        <v>3</v>
      </c>
      <c r="I83">
        <v>44</v>
      </c>
      <c r="L83">
        <f t="shared" si="10"/>
        <v>9.1809999999999992</v>
      </c>
      <c r="N83">
        <f t="shared" si="11"/>
        <v>-0.40952380952380946</v>
      </c>
      <c r="O83">
        <f t="shared" si="12"/>
        <v>-0.81081081081081074</v>
      </c>
      <c r="Q83">
        <f t="shared" si="13"/>
        <v>-26.79739877485115</v>
      </c>
      <c r="R83">
        <f t="shared" si="14"/>
        <v>333.20260122514884</v>
      </c>
      <c r="W83">
        <f t="shared" si="18"/>
        <v>0.115</v>
      </c>
      <c r="X83">
        <f t="shared" si="19"/>
        <v>-48.038674589820729</v>
      </c>
      <c r="Y83">
        <f t="shared" si="15"/>
        <v>311.96132541017926</v>
      </c>
      <c r="AA83">
        <f t="shared" si="16"/>
        <v>275.05525541017931</v>
      </c>
      <c r="AB83">
        <f t="shared" si="17"/>
        <v>275.05525541017931</v>
      </c>
    </row>
    <row r="84" spans="1:28" x14ac:dyDescent="0.25">
      <c r="A84">
        <v>40211</v>
      </c>
      <c r="B84">
        <v>76.73</v>
      </c>
      <c r="C84">
        <v>-17.850000000000001</v>
      </c>
      <c r="D84">
        <v>-24.9</v>
      </c>
      <c r="E84">
        <v>267.70999999999998</v>
      </c>
      <c r="F84">
        <v>1</v>
      </c>
      <c r="G84">
        <v>4</v>
      </c>
      <c r="H84">
        <v>3</v>
      </c>
      <c r="I84">
        <v>54</v>
      </c>
      <c r="L84">
        <f t="shared" si="10"/>
        <v>9.2970000000000006</v>
      </c>
      <c r="N84">
        <f t="shared" si="11"/>
        <v>-0.49523809523809531</v>
      </c>
      <c r="O84">
        <f t="shared" si="12"/>
        <v>-0.81081081081081074</v>
      </c>
      <c r="Q84">
        <f t="shared" si="13"/>
        <v>-31.416320417919994</v>
      </c>
      <c r="R84">
        <f t="shared" si="14"/>
        <v>328.58367958207998</v>
      </c>
      <c r="W84">
        <f t="shared" si="18"/>
        <v>0.11600000000000001</v>
      </c>
      <c r="X84">
        <f t="shared" si="19"/>
        <v>-56.939354589820731</v>
      </c>
      <c r="Y84">
        <f t="shared" si="15"/>
        <v>303.06064541017929</v>
      </c>
      <c r="AA84">
        <f t="shared" si="16"/>
        <v>275.87525541017931</v>
      </c>
      <c r="AB84">
        <f t="shared" si="17"/>
        <v>275.87525541017931</v>
      </c>
    </row>
    <row r="85" spans="1:28" x14ac:dyDescent="0.25">
      <c r="A85">
        <v>40327</v>
      </c>
      <c r="B85">
        <v>76.73</v>
      </c>
      <c r="C85">
        <v>-21.15</v>
      </c>
      <c r="D85">
        <v>-23.1</v>
      </c>
      <c r="E85">
        <v>267.95</v>
      </c>
      <c r="F85">
        <v>1</v>
      </c>
      <c r="G85">
        <v>4</v>
      </c>
      <c r="H85">
        <v>3</v>
      </c>
      <c r="I85">
        <v>60</v>
      </c>
      <c r="L85">
        <f t="shared" si="10"/>
        <v>9.4130000000000003</v>
      </c>
      <c r="N85">
        <f t="shared" si="11"/>
        <v>-0.70476190476190459</v>
      </c>
      <c r="O85">
        <f t="shared" si="12"/>
        <v>-0.70270270270270285</v>
      </c>
      <c r="Q85">
        <f t="shared" si="13"/>
        <v>-45.083826976783989</v>
      </c>
      <c r="R85">
        <f t="shared" si="14"/>
        <v>314.916173023216</v>
      </c>
      <c r="W85">
        <f t="shared" si="18"/>
        <v>0.11600000000000001</v>
      </c>
      <c r="X85">
        <f t="shared" si="19"/>
        <v>-65.840034589820732</v>
      </c>
      <c r="Y85">
        <f t="shared" si="15"/>
        <v>294.15996541017921</v>
      </c>
      <c r="AA85">
        <f t="shared" si="16"/>
        <v>275.6352554101793</v>
      </c>
      <c r="AB85">
        <f t="shared" si="17"/>
        <v>275.6352554101793</v>
      </c>
    </row>
    <row r="86" spans="1:28" x14ac:dyDescent="0.25">
      <c r="A86">
        <v>40442</v>
      </c>
      <c r="B86">
        <v>75.31</v>
      </c>
      <c r="C86">
        <v>-22.2</v>
      </c>
      <c r="D86">
        <v>-20.7</v>
      </c>
      <c r="E86">
        <v>267.18</v>
      </c>
      <c r="F86">
        <v>1</v>
      </c>
      <c r="G86">
        <v>3</v>
      </c>
      <c r="H86">
        <v>4</v>
      </c>
      <c r="I86">
        <v>64</v>
      </c>
      <c r="L86">
        <f t="shared" si="10"/>
        <v>9.5280000000000005</v>
      </c>
      <c r="N86">
        <f t="shared" si="11"/>
        <v>-0.77142857142857135</v>
      </c>
      <c r="O86">
        <f t="shared" si="12"/>
        <v>-0.55855855855855852</v>
      </c>
      <c r="Q86">
        <f t="shared" si="13"/>
        <v>-54.093304256074532</v>
      </c>
      <c r="R86">
        <f t="shared" si="14"/>
        <v>305.90669574392547</v>
      </c>
      <c r="W86">
        <f t="shared" si="18"/>
        <v>0.115</v>
      </c>
      <c r="X86">
        <f t="shared" si="19"/>
        <v>-74.500684589820736</v>
      </c>
      <c r="Y86">
        <f t="shared" si="15"/>
        <v>285.49931541017929</v>
      </c>
      <c r="AA86">
        <f t="shared" si="16"/>
        <v>276.40525541017928</v>
      </c>
      <c r="AB86">
        <f t="shared" si="17"/>
        <v>276.40525541017928</v>
      </c>
    </row>
    <row r="87" spans="1:28" x14ac:dyDescent="0.25">
      <c r="A87">
        <v>40558</v>
      </c>
      <c r="B87">
        <v>77.45</v>
      </c>
      <c r="C87">
        <v>-23.1</v>
      </c>
      <c r="D87">
        <v>-17.100000000000001</v>
      </c>
      <c r="E87">
        <v>266.05</v>
      </c>
      <c r="F87">
        <v>1</v>
      </c>
      <c r="G87">
        <v>2</v>
      </c>
      <c r="H87">
        <v>5</v>
      </c>
      <c r="I87">
        <v>60</v>
      </c>
      <c r="L87">
        <f t="shared" si="10"/>
        <v>9.6440000000000001</v>
      </c>
      <c r="N87">
        <f t="shared" si="11"/>
        <v>-0.82857142857142863</v>
      </c>
      <c r="O87">
        <f t="shared" si="12"/>
        <v>-0.34234234234234245</v>
      </c>
      <c r="Q87">
        <f t="shared" si="13"/>
        <v>-67.550966522291091</v>
      </c>
      <c r="R87">
        <f t="shared" si="14"/>
        <v>292.44903347770889</v>
      </c>
      <c r="W87">
        <f t="shared" si="18"/>
        <v>0.11600000000000001</v>
      </c>
      <c r="X87">
        <f t="shared" si="19"/>
        <v>-83.484884589820737</v>
      </c>
      <c r="Y87">
        <f t="shared" si="15"/>
        <v>276.51511541017931</v>
      </c>
      <c r="AA87">
        <f t="shared" si="16"/>
        <v>277.53525541017927</v>
      </c>
      <c r="AB87">
        <f t="shared" si="17"/>
        <v>277.53525541017927</v>
      </c>
    </row>
    <row r="88" spans="1:28" x14ac:dyDescent="0.25">
      <c r="A88">
        <v>40674</v>
      </c>
      <c r="B88">
        <v>76.510000000000005</v>
      </c>
      <c r="C88">
        <v>-23.85</v>
      </c>
      <c r="D88">
        <v>-15.6</v>
      </c>
      <c r="E88">
        <v>265.43</v>
      </c>
      <c r="F88">
        <v>1</v>
      </c>
      <c r="G88">
        <v>2</v>
      </c>
      <c r="H88">
        <v>5</v>
      </c>
      <c r="I88">
        <v>52</v>
      </c>
      <c r="L88">
        <f t="shared" si="10"/>
        <v>9.76</v>
      </c>
      <c r="N88">
        <f t="shared" si="11"/>
        <v>-0.87619047619047619</v>
      </c>
      <c r="O88">
        <f t="shared" si="12"/>
        <v>-0.25225225225225223</v>
      </c>
      <c r="Q88">
        <f t="shared" si="13"/>
        <v>-73.939070653420288</v>
      </c>
      <c r="R88">
        <f t="shared" si="14"/>
        <v>286.06092934657971</v>
      </c>
      <c r="W88">
        <f t="shared" si="18"/>
        <v>0.11600000000000001</v>
      </c>
      <c r="X88">
        <f t="shared" si="19"/>
        <v>-92.360044589820745</v>
      </c>
      <c r="Y88">
        <f t="shared" si="15"/>
        <v>267.63995541017925</v>
      </c>
      <c r="AA88">
        <f t="shared" si="16"/>
        <v>278.15525541017928</v>
      </c>
      <c r="AB88">
        <f t="shared" si="17"/>
        <v>278.15525541017928</v>
      </c>
    </row>
    <row r="89" spans="1:28" x14ac:dyDescent="0.25">
      <c r="A89">
        <v>40789</v>
      </c>
      <c r="B89">
        <v>77.430000000000007</v>
      </c>
      <c r="C89">
        <v>-24.3</v>
      </c>
      <c r="D89">
        <v>-14.4</v>
      </c>
      <c r="E89">
        <v>263.52</v>
      </c>
      <c r="F89">
        <v>1</v>
      </c>
      <c r="G89">
        <v>2</v>
      </c>
      <c r="H89">
        <v>6</v>
      </c>
      <c r="I89">
        <v>46</v>
      </c>
      <c r="L89">
        <f t="shared" si="10"/>
        <v>9.875</v>
      </c>
      <c r="N89">
        <f t="shared" si="11"/>
        <v>-0.90476190476190477</v>
      </c>
      <c r="O89">
        <f t="shared" si="12"/>
        <v>-0.1801801801801802</v>
      </c>
      <c r="Q89">
        <f t="shared" si="13"/>
        <v>-78.737095515019178</v>
      </c>
      <c r="R89">
        <f t="shared" si="14"/>
        <v>281.26290448498082</v>
      </c>
      <c r="W89">
        <f t="shared" si="18"/>
        <v>0.115</v>
      </c>
      <c r="X89">
        <f t="shared" si="19"/>
        <v>-101.26449458982074</v>
      </c>
      <c r="Y89">
        <f t="shared" si="15"/>
        <v>258.73550541017926</v>
      </c>
      <c r="AA89">
        <f t="shared" si="16"/>
        <v>280.0652554101793</v>
      </c>
      <c r="AB89">
        <f t="shared" si="17"/>
        <v>280.0652554101793</v>
      </c>
    </row>
    <row r="90" spans="1:28" x14ac:dyDescent="0.25">
      <c r="A90">
        <v>40905</v>
      </c>
      <c r="B90">
        <v>74.34</v>
      </c>
      <c r="C90">
        <v>-23.4</v>
      </c>
      <c r="D90">
        <v>-11.7</v>
      </c>
      <c r="E90">
        <v>262.08999999999997</v>
      </c>
      <c r="F90">
        <v>1</v>
      </c>
      <c r="G90">
        <v>1</v>
      </c>
      <c r="H90">
        <v>6</v>
      </c>
      <c r="I90">
        <v>37</v>
      </c>
      <c r="L90">
        <f t="shared" si="10"/>
        <v>9.9909999999999997</v>
      </c>
      <c r="N90">
        <f t="shared" si="11"/>
        <v>-0.84761904761904749</v>
      </c>
      <c r="O90">
        <f t="shared" si="12"/>
        <v>-1.8018018018017955E-2</v>
      </c>
      <c r="Q90">
        <f t="shared" si="13"/>
        <v>-88.782234854176565</v>
      </c>
      <c r="R90">
        <f t="shared" si="14"/>
        <v>271.21776514582342</v>
      </c>
      <c r="W90">
        <f t="shared" si="18"/>
        <v>0.11600000000000001</v>
      </c>
      <c r="X90">
        <f t="shared" si="19"/>
        <v>-109.88793458982074</v>
      </c>
      <c r="Y90">
        <f t="shared" si="15"/>
        <v>250.11206541017918</v>
      </c>
      <c r="AA90">
        <f t="shared" si="16"/>
        <v>281.49525541017931</v>
      </c>
      <c r="AB90">
        <f t="shared" si="17"/>
        <v>281.49525541017931</v>
      </c>
    </row>
    <row r="91" spans="1:28" x14ac:dyDescent="0.25">
      <c r="A91">
        <v>41020</v>
      </c>
      <c r="B91">
        <v>78.83</v>
      </c>
      <c r="C91">
        <v>-24.9</v>
      </c>
      <c r="D91">
        <v>-7.95</v>
      </c>
      <c r="E91">
        <v>260.91000000000003</v>
      </c>
      <c r="F91">
        <v>2</v>
      </c>
      <c r="G91">
        <v>1</v>
      </c>
      <c r="H91">
        <v>6</v>
      </c>
      <c r="I91">
        <v>26</v>
      </c>
      <c r="L91">
        <f t="shared" si="10"/>
        <v>10.106</v>
      </c>
      <c r="N91">
        <f t="shared" si="11"/>
        <v>-0.94285714285714273</v>
      </c>
      <c r="O91">
        <f t="shared" si="12"/>
        <v>0.20720720720720723</v>
      </c>
      <c r="Q91">
        <f t="shared" si="13"/>
        <v>-102.39458699448298</v>
      </c>
      <c r="R91">
        <f t="shared" si="14"/>
        <v>257.60541300551699</v>
      </c>
      <c r="W91">
        <f t="shared" si="18"/>
        <v>0.115</v>
      </c>
      <c r="X91">
        <f t="shared" si="19"/>
        <v>-118.95338458982074</v>
      </c>
      <c r="Y91">
        <f t="shared" si="15"/>
        <v>241.04661541017924</v>
      </c>
      <c r="AA91">
        <f t="shared" si="16"/>
        <v>282.67525541017926</v>
      </c>
      <c r="AB91">
        <f t="shared" si="17"/>
        <v>282.67525541017926</v>
      </c>
    </row>
    <row r="92" spans="1:28" x14ac:dyDescent="0.25">
      <c r="A92">
        <v>41135</v>
      </c>
      <c r="B92">
        <v>78.040000000000006</v>
      </c>
      <c r="C92">
        <v>-22.95</v>
      </c>
      <c r="D92">
        <v>-5.55</v>
      </c>
      <c r="E92">
        <v>291.8</v>
      </c>
      <c r="F92">
        <v>12</v>
      </c>
      <c r="G92">
        <v>1</v>
      </c>
      <c r="H92">
        <v>6</v>
      </c>
      <c r="I92">
        <v>16</v>
      </c>
      <c r="L92">
        <f t="shared" si="10"/>
        <v>10.221</v>
      </c>
      <c r="N92">
        <f t="shared" si="11"/>
        <v>-0.81904761904761891</v>
      </c>
      <c r="O92">
        <f t="shared" si="12"/>
        <v>0.35135135135135143</v>
      </c>
      <c r="Q92">
        <f t="shared" si="13"/>
        <v>-113.21814612802849</v>
      </c>
      <c r="R92">
        <f t="shared" si="14"/>
        <v>246.78185387197152</v>
      </c>
      <c r="W92">
        <f t="shared" si="18"/>
        <v>0.115</v>
      </c>
      <c r="X92">
        <f t="shared" si="19"/>
        <v>-127.92798458982074</v>
      </c>
      <c r="Y92">
        <f t="shared" si="15"/>
        <v>232.07201541017923</v>
      </c>
      <c r="AA92">
        <f t="shared" si="16"/>
        <v>251.78525541017927</v>
      </c>
      <c r="AB92">
        <f t="shared" si="17"/>
        <v>251.78525541017927</v>
      </c>
    </row>
    <row r="93" spans="1:28" x14ac:dyDescent="0.25">
      <c r="A93">
        <v>41251</v>
      </c>
      <c r="B93">
        <v>78.349999999999994</v>
      </c>
      <c r="C93">
        <v>-22.05</v>
      </c>
      <c r="D93">
        <v>-3.15</v>
      </c>
      <c r="E93">
        <v>344.93</v>
      </c>
      <c r="F93">
        <v>32</v>
      </c>
      <c r="G93">
        <v>1</v>
      </c>
      <c r="H93">
        <v>6</v>
      </c>
      <c r="I93">
        <v>8</v>
      </c>
      <c r="L93">
        <f t="shared" si="10"/>
        <v>10.337</v>
      </c>
      <c r="N93">
        <f t="shared" si="11"/>
        <v>-0.76190476190476186</v>
      </c>
      <c r="O93">
        <f t="shared" si="12"/>
        <v>0.49549549549549554</v>
      </c>
      <c r="Q93">
        <f t="shared" si="13"/>
        <v>-123.03747296474559</v>
      </c>
      <c r="R93">
        <f t="shared" si="14"/>
        <v>236.96252703525442</v>
      </c>
      <c r="W93">
        <f t="shared" si="18"/>
        <v>0.11600000000000001</v>
      </c>
      <c r="X93">
        <f t="shared" si="19"/>
        <v>-137.01658458982075</v>
      </c>
      <c r="Y93">
        <f t="shared" si="15"/>
        <v>222.9834154101793</v>
      </c>
      <c r="AA93">
        <f t="shared" si="16"/>
        <v>198.65525541017928</v>
      </c>
      <c r="AB93">
        <f t="shared" si="17"/>
        <v>198.65525541017928</v>
      </c>
    </row>
    <row r="94" spans="1:28" x14ac:dyDescent="0.25">
      <c r="A94">
        <v>41365</v>
      </c>
      <c r="B94">
        <v>76.92</v>
      </c>
      <c r="C94">
        <v>-20.25</v>
      </c>
      <c r="D94">
        <v>-1.05</v>
      </c>
      <c r="E94">
        <v>357.92</v>
      </c>
      <c r="F94">
        <v>60</v>
      </c>
      <c r="G94">
        <v>1</v>
      </c>
      <c r="H94">
        <v>5</v>
      </c>
      <c r="I94">
        <v>3</v>
      </c>
      <c r="L94">
        <f t="shared" si="10"/>
        <v>10.451000000000001</v>
      </c>
      <c r="N94">
        <f t="shared" si="11"/>
        <v>-0.64761904761904754</v>
      </c>
      <c r="O94">
        <f t="shared" si="12"/>
        <v>0.6216216216216216</v>
      </c>
      <c r="Q94">
        <f t="shared" si="13"/>
        <v>-133.82659406598086</v>
      </c>
      <c r="R94">
        <f t="shared" si="14"/>
        <v>226.17340593401914</v>
      </c>
      <c r="W94">
        <f t="shared" si="18"/>
        <v>0.114</v>
      </c>
      <c r="X94">
        <f t="shared" si="19"/>
        <v>-145.78546458982075</v>
      </c>
      <c r="Y94">
        <f t="shared" si="15"/>
        <v>214.21453541017922</v>
      </c>
      <c r="AA94">
        <f t="shared" si="16"/>
        <v>185.66525541017927</v>
      </c>
      <c r="AB94">
        <f t="shared" si="17"/>
        <v>185.66525541017927</v>
      </c>
    </row>
    <row r="95" spans="1:28" x14ac:dyDescent="0.25">
      <c r="A95">
        <v>41480</v>
      </c>
      <c r="B95">
        <v>75.66</v>
      </c>
      <c r="C95">
        <v>-19.350000000000001</v>
      </c>
      <c r="D95">
        <v>-0.45</v>
      </c>
      <c r="E95">
        <v>357.88</v>
      </c>
      <c r="F95">
        <v>86</v>
      </c>
      <c r="G95">
        <v>0</v>
      </c>
      <c r="H95">
        <v>5</v>
      </c>
      <c r="I95">
        <v>3</v>
      </c>
      <c r="L95">
        <f t="shared" si="10"/>
        <v>10.566000000000001</v>
      </c>
      <c r="N95">
        <f t="shared" si="11"/>
        <v>-0.59047619047619049</v>
      </c>
      <c r="O95">
        <f t="shared" si="12"/>
        <v>0.65765765765765782</v>
      </c>
      <c r="Q95">
        <f t="shared" si="13"/>
        <v>-138.08100263935239</v>
      </c>
      <c r="R95">
        <f t="shared" si="14"/>
        <v>221.91899736064761</v>
      </c>
      <c r="W95">
        <f t="shared" si="18"/>
        <v>0.115</v>
      </c>
      <c r="X95">
        <f t="shared" si="19"/>
        <v>-154.48636458982074</v>
      </c>
      <c r="Y95">
        <f t="shared" si="15"/>
        <v>205.51363541017929</v>
      </c>
      <c r="AA95">
        <f t="shared" si="16"/>
        <v>185.70525541017929</v>
      </c>
      <c r="AB95">
        <f t="shared" si="17"/>
        <v>185.70525541017929</v>
      </c>
    </row>
    <row r="96" spans="1:28" x14ac:dyDescent="0.25">
      <c r="A96">
        <v>41594</v>
      </c>
      <c r="B96">
        <v>77.150000000000006</v>
      </c>
      <c r="C96">
        <v>-17.850000000000001</v>
      </c>
      <c r="D96">
        <v>1.5</v>
      </c>
      <c r="E96">
        <v>358.94</v>
      </c>
      <c r="F96">
        <v>111</v>
      </c>
      <c r="G96">
        <v>1</v>
      </c>
      <c r="H96">
        <v>3</v>
      </c>
      <c r="I96">
        <v>3</v>
      </c>
      <c r="L96">
        <f t="shared" si="10"/>
        <v>10.68</v>
      </c>
      <c r="N96">
        <f t="shared" si="11"/>
        <v>-0.49523809523809531</v>
      </c>
      <c r="O96">
        <f t="shared" si="12"/>
        <v>0.77477477477477485</v>
      </c>
      <c r="Q96">
        <f t="shared" si="13"/>
        <v>-147.4131780994116</v>
      </c>
      <c r="R96">
        <f t="shared" si="14"/>
        <v>212.5868219005884</v>
      </c>
      <c r="W96">
        <f t="shared" si="18"/>
        <v>0.114</v>
      </c>
      <c r="X96">
        <f t="shared" si="19"/>
        <v>-163.28146458982073</v>
      </c>
      <c r="Y96">
        <f t="shared" si="15"/>
        <v>196.71853541017924</v>
      </c>
      <c r="AA96">
        <f t="shared" si="16"/>
        <v>184.64525541017929</v>
      </c>
      <c r="AB96">
        <f t="shared" si="17"/>
        <v>184.64525541017929</v>
      </c>
    </row>
    <row r="97" spans="1:28" x14ac:dyDescent="0.25">
      <c r="A97">
        <v>41709</v>
      </c>
      <c r="B97">
        <v>73.94</v>
      </c>
      <c r="C97">
        <v>-15.3</v>
      </c>
      <c r="D97">
        <v>2.1</v>
      </c>
      <c r="E97">
        <v>359.1</v>
      </c>
      <c r="F97">
        <v>131</v>
      </c>
      <c r="G97">
        <v>1</v>
      </c>
      <c r="H97">
        <v>3</v>
      </c>
      <c r="I97">
        <v>3</v>
      </c>
      <c r="L97">
        <f t="shared" si="10"/>
        <v>10.795</v>
      </c>
      <c r="N97">
        <f t="shared" si="11"/>
        <v>-0.33333333333333331</v>
      </c>
      <c r="O97">
        <f t="shared" si="12"/>
        <v>0.81081081081081086</v>
      </c>
      <c r="Q97">
        <f t="shared" si="13"/>
        <v>-157.6518916520906</v>
      </c>
      <c r="R97">
        <f t="shared" si="14"/>
        <v>202.3481083479094</v>
      </c>
      <c r="W97">
        <f t="shared" si="18"/>
        <v>0.115</v>
      </c>
      <c r="X97">
        <f t="shared" si="19"/>
        <v>-171.78456458982072</v>
      </c>
      <c r="Y97">
        <f t="shared" si="15"/>
        <v>188.21543541017923</v>
      </c>
      <c r="AA97">
        <f t="shared" si="16"/>
        <v>184.48525541017926</v>
      </c>
      <c r="AB97">
        <f t="shared" si="17"/>
        <v>184.48525541017926</v>
      </c>
    </row>
    <row r="98" spans="1:28" x14ac:dyDescent="0.25">
      <c r="A98">
        <v>41824</v>
      </c>
      <c r="B98">
        <v>76.45</v>
      </c>
      <c r="C98">
        <v>-13.65</v>
      </c>
      <c r="D98">
        <v>4.2</v>
      </c>
      <c r="E98">
        <v>358.57</v>
      </c>
      <c r="F98">
        <v>123</v>
      </c>
      <c r="G98">
        <v>1</v>
      </c>
      <c r="H98">
        <v>3</v>
      </c>
      <c r="I98">
        <v>4</v>
      </c>
      <c r="L98">
        <f t="shared" si="10"/>
        <v>10.91</v>
      </c>
      <c r="N98">
        <f t="shared" si="11"/>
        <v>-0.22857142857142854</v>
      </c>
      <c r="O98">
        <f t="shared" si="12"/>
        <v>0.93693693693693714</v>
      </c>
      <c r="Q98">
        <f t="shared" si="13"/>
        <v>-166.29014014545399</v>
      </c>
      <c r="R98">
        <f t="shared" si="14"/>
        <v>193.70985985454601</v>
      </c>
      <c r="W98">
        <f t="shared" si="18"/>
        <v>0.115</v>
      </c>
      <c r="X98">
        <f t="shared" si="19"/>
        <v>-180.57631458982073</v>
      </c>
      <c r="Y98">
        <f t="shared" si="15"/>
        <v>179.42368541017925</v>
      </c>
      <c r="AA98">
        <f t="shared" si="16"/>
        <v>185.01525541017929</v>
      </c>
      <c r="AB98">
        <f t="shared" si="17"/>
        <v>185.01525541017929</v>
      </c>
    </row>
    <row r="99" spans="1:28" x14ac:dyDescent="0.25">
      <c r="A99">
        <v>41938</v>
      </c>
      <c r="B99">
        <v>78.66</v>
      </c>
      <c r="C99">
        <v>-10.65</v>
      </c>
      <c r="D99">
        <v>5.0999999999999996</v>
      </c>
      <c r="E99">
        <v>358.41</v>
      </c>
      <c r="F99">
        <v>111</v>
      </c>
      <c r="G99">
        <v>1</v>
      </c>
      <c r="H99">
        <v>3</v>
      </c>
      <c r="I99">
        <v>4</v>
      </c>
      <c r="L99">
        <f t="shared" si="10"/>
        <v>11.023999999999999</v>
      </c>
      <c r="N99">
        <f t="shared" si="11"/>
        <v>-3.8095238095238071E-2</v>
      </c>
      <c r="O99">
        <f t="shared" si="12"/>
        <v>0.99099099099099108</v>
      </c>
      <c r="Q99">
        <f t="shared" si="13"/>
        <v>-177.79854491898405</v>
      </c>
      <c r="R99">
        <f t="shared" si="14"/>
        <v>182.20145508101595</v>
      </c>
      <c r="W99">
        <f t="shared" si="18"/>
        <v>0.114</v>
      </c>
      <c r="X99">
        <f t="shared" si="19"/>
        <v>-189.54355458982073</v>
      </c>
      <c r="Y99">
        <f t="shared" si="15"/>
        <v>170.4564454101793</v>
      </c>
      <c r="AA99">
        <f t="shared" si="16"/>
        <v>185.17525541017926</v>
      </c>
      <c r="AB99">
        <f t="shared" si="17"/>
        <v>185.17525541017926</v>
      </c>
    </row>
    <row r="100" spans="1:28" x14ac:dyDescent="0.25">
      <c r="A100">
        <v>42053</v>
      </c>
      <c r="B100">
        <v>75.069999999999993</v>
      </c>
      <c r="C100">
        <v>-8.25</v>
      </c>
      <c r="D100">
        <v>4.2</v>
      </c>
      <c r="E100">
        <v>357.24</v>
      </c>
      <c r="F100">
        <v>86</v>
      </c>
      <c r="G100">
        <v>1</v>
      </c>
      <c r="H100">
        <v>3</v>
      </c>
      <c r="I100">
        <v>5</v>
      </c>
      <c r="L100">
        <f t="shared" si="10"/>
        <v>11.138999999999999</v>
      </c>
      <c r="N100">
        <f t="shared" si="11"/>
        <v>0.11428571428571434</v>
      </c>
      <c r="O100">
        <f t="shared" si="12"/>
        <v>0.93693693693693714</v>
      </c>
      <c r="Q100">
        <f t="shared" si="13"/>
        <v>173.04552937245728</v>
      </c>
      <c r="R100">
        <f t="shared" si="14"/>
        <v>173.04552937245728</v>
      </c>
      <c r="W100">
        <f t="shared" si="18"/>
        <v>0.115</v>
      </c>
      <c r="X100">
        <f t="shared" si="19"/>
        <v>-198.17660458982073</v>
      </c>
      <c r="Y100">
        <f t="shared" si="15"/>
        <v>161.82339541017927</v>
      </c>
      <c r="AA100">
        <f t="shared" si="16"/>
        <v>186.34525541017928</v>
      </c>
      <c r="AB100">
        <f t="shared" si="17"/>
        <v>186.34525541017928</v>
      </c>
    </row>
    <row r="101" spans="1:28" x14ac:dyDescent="0.25">
      <c r="A101">
        <v>42165</v>
      </c>
      <c r="B101">
        <v>75.25</v>
      </c>
      <c r="C101">
        <v>-7.65</v>
      </c>
      <c r="D101">
        <v>3.75</v>
      </c>
      <c r="E101">
        <v>355.03</v>
      </c>
      <c r="F101">
        <v>50</v>
      </c>
      <c r="G101">
        <v>2</v>
      </c>
      <c r="H101">
        <v>4</v>
      </c>
      <c r="I101">
        <v>6</v>
      </c>
      <c r="L101">
        <f t="shared" si="10"/>
        <v>11.250999999999999</v>
      </c>
      <c r="N101">
        <f t="shared" si="11"/>
        <v>0.15238095238095239</v>
      </c>
      <c r="O101">
        <f t="shared" si="12"/>
        <v>0.90990990990991005</v>
      </c>
      <c r="Q101">
        <f t="shared" si="13"/>
        <v>170.49300170472009</v>
      </c>
      <c r="R101">
        <f t="shared" si="14"/>
        <v>170.49300170472009</v>
      </c>
      <c r="W101">
        <f t="shared" si="18"/>
        <v>0.112</v>
      </c>
      <c r="X101">
        <f t="shared" si="19"/>
        <v>-206.60460458982072</v>
      </c>
      <c r="Y101">
        <f t="shared" si="15"/>
        <v>153.39539541017928</v>
      </c>
      <c r="AA101">
        <f t="shared" si="16"/>
        <v>188.55525541017931</v>
      </c>
      <c r="AB101">
        <f t="shared" si="17"/>
        <v>188.55525541017931</v>
      </c>
    </row>
    <row r="102" spans="1:28" x14ac:dyDescent="0.25">
      <c r="A102">
        <v>42278</v>
      </c>
      <c r="B102">
        <v>76.5</v>
      </c>
      <c r="C102">
        <v>-4.8</v>
      </c>
      <c r="D102">
        <v>3</v>
      </c>
      <c r="E102">
        <v>3.18</v>
      </c>
      <c r="F102">
        <v>23</v>
      </c>
      <c r="G102">
        <v>8</v>
      </c>
      <c r="H102">
        <v>5</v>
      </c>
      <c r="I102">
        <v>7</v>
      </c>
      <c r="L102">
        <f t="shared" si="10"/>
        <v>11.364000000000001</v>
      </c>
      <c r="N102">
        <f t="shared" si="11"/>
        <v>0.33333333333333337</v>
      </c>
      <c r="O102">
        <f t="shared" si="12"/>
        <v>0.86486486486486491</v>
      </c>
      <c r="Q102">
        <f t="shared" si="13"/>
        <v>158.92250588301326</v>
      </c>
      <c r="R102">
        <f t="shared" si="14"/>
        <v>158.92250588301326</v>
      </c>
      <c r="W102">
        <f t="shared" si="18"/>
        <v>0.113</v>
      </c>
      <c r="X102">
        <f t="shared" si="19"/>
        <v>-215.24910458982072</v>
      </c>
      <c r="Y102">
        <f t="shared" si="15"/>
        <v>144.75089541017928</v>
      </c>
      <c r="AA102">
        <f t="shared" si="16"/>
        <v>540.40525541017928</v>
      </c>
      <c r="AB102">
        <f t="shared" si="17"/>
        <v>180.40525541017928</v>
      </c>
    </row>
    <row r="103" spans="1:28" x14ac:dyDescent="0.25">
      <c r="A103">
        <v>42388</v>
      </c>
      <c r="B103">
        <v>77.16</v>
      </c>
      <c r="C103">
        <v>-2.85</v>
      </c>
      <c r="D103">
        <v>1.35</v>
      </c>
      <c r="E103">
        <v>88.36</v>
      </c>
      <c r="F103">
        <v>6</v>
      </c>
      <c r="G103">
        <v>43</v>
      </c>
      <c r="H103">
        <v>5</v>
      </c>
      <c r="I103">
        <v>8</v>
      </c>
      <c r="L103">
        <f t="shared" si="10"/>
        <v>11.474</v>
      </c>
      <c r="N103">
        <f t="shared" si="11"/>
        <v>0.45714285714285718</v>
      </c>
      <c r="O103">
        <f t="shared" si="12"/>
        <v>0.76576576576576583</v>
      </c>
      <c r="Q103">
        <f t="shared" si="13"/>
        <v>149.16386341616186</v>
      </c>
      <c r="R103">
        <f t="shared" si="14"/>
        <v>149.16386341616186</v>
      </c>
      <c r="W103">
        <f t="shared" si="18"/>
        <v>0.11</v>
      </c>
      <c r="X103">
        <f t="shared" si="19"/>
        <v>-223.7367045898207</v>
      </c>
      <c r="Y103">
        <f t="shared" si="15"/>
        <v>136.2632954101793</v>
      </c>
      <c r="AA103">
        <f t="shared" si="16"/>
        <v>455.22525541017927</v>
      </c>
      <c r="AB103">
        <f t="shared" si="17"/>
        <v>95.225255410179273</v>
      </c>
    </row>
    <row r="104" spans="1:28" x14ac:dyDescent="0.25">
      <c r="A104">
        <v>42500</v>
      </c>
      <c r="B104">
        <v>75.400000000000006</v>
      </c>
      <c r="C104">
        <v>-1.05</v>
      </c>
      <c r="D104">
        <v>0.6</v>
      </c>
      <c r="E104">
        <v>91.66</v>
      </c>
      <c r="F104">
        <v>4</v>
      </c>
      <c r="G104">
        <v>76</v>
      </c>
      <c r="H104">
        <v>6</v>
      </c>
      <c r="I104">
        <v>7</v>
      </c>
      <c r="L104">
        <f t="shared" si="10"/>
        <v>11.586</v>
      </c>
      <c r="N104">
        <f t="shared" si="11"/>
        <v>0.5714285714285714</v>
      </c>
      <c r="O104">
        <f t="shared" si="12"/>
        <v>0.7207207207207208</v>
      </c>
      <c r="Q104">
        <f t="shared" si="13"/>
        <v>141.59060876814888</v>
      </c>
      <c r="R104">
        <f t="shared" si="14"/>
        <v>141.59060876814888</v>
      </c>
      <c r="W104">
        <f t="shared" si="18"/>
        <v>0.112</v>
      </c>
      <c r="X104">
        <f t="shared" si="19"/>
        <v>-232.18150458982069</v>
      </c>
      <c r="Y104">
        <f t="shared" si="15"/>
        <v>127.81849541017931</v>
      </c>
      <c r="AA104">
        <f t="shared" si="16"/>
        <v>451.92525541017932</v>
      </c>
      <c r="AB104">
        <f t="shared" si="17"/>
        <v>91.925255410179318</v>
      </c>
    </row>
    <row r="105" spans="1:28" x14ac:dyDescent="0.25">
      <c r="A105">
        <v>42611</v>
      </c>
      <c r="B105">
        <v>75.599999999999994</v>
      </c>
      <c r="C105">
        <v>1.95</v>
      </c>
      <c r="D105">
        <v>-1.2</v>
      </c>
      <c r="E105">
        <v>91.21</v>
      </c>
      <c r="F105">
        <v>3</v>
      </c>
      <c r="G105">
        <v>101</v>
      </c>
      <c r="H105">
        <v>5</v>
      </c>
      <c r="I105">
        <v>6</v>
      </c>
      <c r="L105">
        <f t="shared" si="10"/>
        <v>11.696999999999999</v>
      </c>
      <c r="N105">
        <f t="shared" si="11"/>
        <v>0.76190476190476186</v>
      </c>
      <c r="O105">
        <f t="shared" si="12"/>
        <v>0.61261261261261268</v>
      </c>
      <c r="Q105">
        <f t="shared" si="13"/>
        <v>128.80116268649431</v>
      </c>
      <c r="R105">
        <f t="shared" si="14"/>
        <v>128.80116268649431</v>
      </c>
      <c r="W105">
        <f t="shared" si="18"/>
        <v>0.111</v>
      </c>
      <c r="X105">
        <f t="shared" si="19"/>
        <v>-240.5731045898207</v>
      </c>
      <c r="Y105">
        <f t="shared" si="15"/>
        <v>119.42689541017933</v>
      </c>
      <c r="AA105">
        <f t="shared" si="16"/>
        <v>452.37525541017931</v>
      </c>
      <c r="AB105">
        <f t="shared" si="17"/>
        <v>92.375255410179307</v>
      </c>
    </row>
    <row r="106" spans="1:28" x14ac:dyDescent="0.25">
      <c r="A106">
        <v>42724</v>
      </c>
      <c r="B106">
        <v>76.44</v>
      </c>
      <c r="C106">
        <v>1.95</v>
      </c>
      <c r="D106">
        <v>-1.95</v>
      </c>
      <c r="E106">
        <v>91.02</v>
      </c>
      <c r="F106">
        <v>2</v>
      </c>
      <c r="G106">
        <v>116</v>
      </c>
      <c r="H106">
        <v>4</v>
      </c>
      <c r="I106">
        <v>4</v>
      </c>
      <c r="L106">
        <f t="shared" si="10"/>
        <v>11.81</v>
      </c>
      <c r="N106">
        <f t="shared" si="11"/>
        <v>0.76190476190476186</v>
      </c>
      <c r="O106">
        <f t="shared" si="12"/>
        <v>0.56756756756756765</v>
      </c>
      <c r="Q106">
        <f t="shared" si="13"/>
        <v>126.68362104554328</v>
      </c>
      <c r="R106">
        <f t="shared" si="14"/>
        <v>126.68362104554328</v>
      </c>
      <c r="W106">
        <f t="shared" si="18"/>
        <v>0.113</v>
      </c>
      <c r="X106">
        <f t="shared" si="19"/>
        <v>-249.2108245898207</v>
      </c>
      <c r="Y106">
        <f t="shared" si="15"/>
        <v>110.78917541017927</v>
      </c>
      <c r="AA106">
        <f t="shared" si="16"/>
        <v>452.5652554101793</v>
      </c>
      <c r="AB106">
        <f t="shared" si="17"/>
        <v>92.565255410179304</v>
      </c>
    </row>
    <row r="107" spans="1:28" x14ac:dyDescent="0.25">
      <c r="A107">
        <v>42836</v>
      </c>
      <c r="B107">
        <v>76.2</v>
      </c>
      <c r="C107">
        <v>3.9</v>
      </c>
      <c r="D107">
        <v>-4.6500000000000004</v>
      </c>
      <c r="E107">
        <v>90.52</v>
      </c>
      <c r="F107">
        <v>2</v>
      </c>
      <c r="G107">
        <v>115</v>
      </c>
      <c r="H107">
        <v>3</v>
      </c>
      <c r="I107">
        <v>4</v>
      </c>
      <c r="L107">
        <f t="shared" si="10"/>
        <v>11.922000000000001</v>
      </c>
      <c r="N107">
        <f t="shared" si="11"/>
        <v>0.88571428571428579</v>
      </c>
      <c r="O107">
        <f t="shared" si="12"/>
        <v>0.40540540540540543</v>
      </c>
      <c r="Q107">
        <f t="shared" si="13"/>
        <v>114.5943173259612</v>
      </c>
      <c r="R107">
        <f t="shared" si="14"/>
        <v>114.5943173259612</v>
      </c>
      <c r="W107">
        <f t="shared" si="18"/>
        <v>0.112</v>
      </c>
      <c r="X107">
        <f t="shared" si="19"/>
        <v>-257.74522458982068</v>
      </c>
      <c r="Y107">
        <f t="shared" si="15"/>
        <v>102.25477541017932</v>
      </c>
      <c r="AA107">
        <f t="shared" si="16"/>
        <v>453.0652554101793</v>
      </c>
      <c r="AB107">
        <f t="shared" si="17"/>
        <v>93.065255410179304</v>
      </c>
    </row>
    <row r="108" spans="1:28" x14ac:dyDescent="0.25">
      <c r="A108">
        <v>42949</v>
      </c>
      <c r="B108">
        <v>72.150000000000006</v>
      </c>
      <c r="C108">
        <v>5.25</v>
      </c>
      <c r="D108">
        <v>-6.15</v>
      </c>
      <c r="E108">
        <v>90</v>
      </c>
      <c r="F108">
        <v>3</v>
      </c>
      <c r="G108">
        <v>98</v>
      </c>
      <c r="H108">
        <v>3</v>
      </c>
      <c r="I108">
        <v>4</v>
      </c>
      <c r="L108">
        <f t="shared" si="10"/>
        <v>12.035</v>
      </c>
      <c r="N108">
        <f t="shared" si="11"/>
        <v>0.97142857142857142</v>
      </c>
      <c r="O108">
        <f t="shared" si="12"/>
        <v>0.31531531531531537</v>
      </c>
      <c r="Q108">
        <f t="shared" si="13"/>
        <v>107.98287546176394</v>
      </c>
      <c r="R108">
        <f t="shared" si="14"/>
        <v>107.98287546176394</v>
      </c>
      <c r="W108">
        <f t="shared" si="18"/>
        <v>0.113</v>
      </c>
      <c r="X108">
        <f t="shared" si="19"/>
        <v>-265.89817458982066</v>
      </c>
      <c r="Y108">
        <f t="shared" si="15"/>
        <v>94.101825410179345</v>
      </c>
      <c r="AA108">
        <f t="shared" si="16"/>
        <v>453.58525541017929</v>
      </c>
      <c r="AB108">
        <f t="shared" si="17"/>
        <v>93.585255410179286</v>
      </c>
    </row>
    <row r="109" spans="1:28" x14ac:dyDescent="0.25">
      <c r="A109">
        <v>43060</v>
      </c>
      <c r="B109">
        <v>75.760000000000005</v>
      </c>
      <c r="C109">
        <v>5.7</v>
      </c>
      <c r="D109">
        <v>-8.6999999999999993</v>
      </c>
      <c r="E109">
        <v>89.3</v>
      </c>
      <c r="F109">
        <v>4</v>
      </c>
      <c r="G109">
        <v>85</v>
      </c>
      <c r="H109">
        <v>3</v>
      </c>
      <c r="I109">
        <v>3</v>
      </c>
      <c r="L109">
        <f t="shared" si="10"/>
        <v>12.146000000000001</v>
      </c>
      <c r="N109">
        <f t="shared" si="11"/>
        <v>1</v>
      </c>
      <c r="O109">
        <f t="shared" si="12"/>
        <v>0.16216216216216223</v>
      </c>
      <c r="Q109">
        <f t="shared" si="13"/>
        <v>99.211026540816661</v>
      </c>
      <c r="R109">
        <f t="shared" si="14"/>
        <v>99.211026540816661</v>
      </c>
      <c r="W109">
        <f t="shared" si="18"/>
        <v>0.111</v>
      </c>
      <c r="X109">
        <f t="shared" si="19"/>
        <v>-274.30753458982065</v>
      </c>
      <c r="Y109">
        <f t="shared" si="15"/>
        <v>85.692465410179352</v>
      </c>
      <c r="AA109">
        <f t="shared" si="16"/>
        <v>454.28525541017927</v>
      </c>
      <c r="AB109">
        <f t="shared" si="17"/>
        <v>94.285255410179275</v>
      </c>
    </row>
    <row r="110" spans="1:28" x14ac:dyDescent="0.25">
      <c r="A110">
        <v>43171</v>
      </c>
      <c r="B110">
        <v>75.31</v>
      </c>
      <c r="C110">
        <v>4.05</v>
      </c>
      <c r="D110">
        <v>-11.1</v>
      </c>
      <c r="E110">
        <v>88.92</v>
      </c>
      <c r="F110">
        <v>5</v>
      </c>
      <c r="G110">
        <v>56</v>
      </c>
      <c r="H110">
        <v>4</v>
      </c>
      <c r="I110">
        <v>3</v>
      </c>
      <c r="L110">
        <f t="shared" si="10"/>
        <v>12.257</v>
      </c>
      <c r="N110">
        <f t="shared" si="11"/>
        <v>0.89523809523809528</v>
      </c>
      <c r="O110">
        <f t="shared" si="12"/>
        <v>1.8018018018018063E-2</v>
      </c>
      <c r="Q110">
        <f t="shared" si="13"/>
        <v>91.153008381329485</v>
      </c>
      <c r="R110">
        <f t="shared" si="14"/>
        <v>91.153008381329485</v>
      </c>
      <c r="W110">
        <f t="shared" si="18"/>
        <v>0.111</v>
      </c>
      <c r="X110">
        <f t="shared" si="19"/>
        <v>-282.66694458982067</v>
      </c>
      <c r="Y110">
        <f t="shared" si="15"/>
        <v>77.333055410179327</v>
      </c>
      <c r="AA110">
        <f t="shared" si="16"/>
        <v>454.66525541017927</v>
      </c>
      <c r="AB110">
        <f t="shared" si="17"/>
        <v>94.66525541017927</v>
      </c>
    </row>
    <row r="111" spans="1:28" x14ac:dyDescent="0.25">
      <c r="A111">
        <v>43284</v>
      </c>
      <c r="B111">
        <v>75.08</v>
      </c>
      <c r="C111">
        <v>4.5</v>
      </c>
      <c r="D111">
        <v>-12</v>
      </c>
      <c r="E111">
        <v>90</v>
      </c>
      <c r="F111">
        <v>6</v>
      </c>
      <c r="G111">
        <v>47</v>
      </c>
      <c r="H111">
        <v>6</v>
      </c>
      <c r="I111">
        <v>4</v>
      </c>
      <c r="L111">
        <f t="shared" si="10"/>
        <v>12.37</v>
      </c>
      <c r="N111">
        <f t="shared" si="11"/>
        <v>0.92380952380952386</v>
      </c>
      <c r="O111">
        <f t="shared" si="12"/>
        <v>-3.6036036036036015E-2</v>
      </c>
      <c r="Q111">
        <f t="shared" si="13"/>
        <v>87.766134214964055</v>
      </c>
      <c r="R111">
        <f t="shared" si="14"/>
        <v>87.766134214964055</v>
      </c>
      <c r="W111">
        <f t="shared" si="18"/>
        <v>0.113</v>
      </c>
      <c r="X111">
        <f t="shared" si="19"/>
        <v>-291.15098458982067</v>
      </c>
      <c r="Y111">
        <f t="shared" si="15"/>
        <v>68.849015410179334</v>
      </c>
      <c r="AA111">
        <f t="shared" si="16"/>
        <v>453.58525541017929</v>
      </c>
      <c r="AB111">
        <f t="shared" si="17"/>
        <v>93.585255410179286</v>
      </c>
    </row>
    <row r="112" spans="1:28" x14ac:dyDescent="0.25">
      <c r="A112">
        <v>43396</v>
      </c>
      <c r="B112">
        <v>77.64</v>
      </c>
      <c r="C112">
        <v>3.9</v>
      </c>
      <c r="D112">
        <v>-14.25</v>
      </c>
      <c r="E112">
        <v>129.56</v>
      </c>
      <c r="F112">
        <v>6</v>
      </c>
      <c r="G112">
        <v>26</v>
      </c>
      <c r="H112">
        <v>25</v>
      </c>
      <c r="I112">
        <v>3</v>
      </c>
      <c r="L112">
        <f t="shared" si="10"/>
        <v>12.481999999999999</v>
      </c>
      <c r="N112">
        <f t="shared" si="11"/>
        <v>0.88571428571428579</v>
      </c>
      <c r="O112">
        <f t="shared" si="12"/>
        <v>-0.17117117117117117</v>
      </c>
      <c r="Q112">
        <f t="shared" si="13"/>
        <v>79.061987899416593</v>
      </c>
      <c r="R112">
        <f t="shared" si="14"/>
        <v>79.061987899416593</v>
      </c>
      <c r="W112">
        <f t="shared" si="18"/>
        <v>0.112</v>
      </c>
      <c r="X112">
        <f t="shared" si="19"/>
        <v>-299.84666458982065</v>
      </c>
      <c r="Y112">
        <f t="shared" si="15"/>
        <v>60.153335410179352</v>
      </c>
      <c r="AA112">
        <f t="shared" si="16"/>
        <v>414.02525541017928</v>
      </c>
      <c r="AB112">
        <f t="shared" si="17"/>
        <v>54.025255410179284</v>
      </c>
    </row>
    <row r="113" spans="1:28" x14ac:dyDescent="0.25">
      <c r="A113">
        <v>43511</v>
      </c>
      <c r="B113">
        <v>75.98</v>
      </c>
      <c r="C113">
        <v>3</v>
      </c>
      <c r="D113">
        <v>-16.2</v>
      </c>
      <c r="E113">
        <v>174.05</v>
      </c>
      <c r="F113">
        <v>6</v>
      </c>
      <c r="G113">
        <v>8</v>
      </c>
      <c r="H113">
        <v>54</v>
      </c>
      <c r="I113">
        <v>3</v>
      </c>
      <c r="L113">
        <f t="shared" si="10"/>
        <v>12.597</v>
      </c>
      <c r="N113">
        <f t="shared" si="11"/>
        <v>0.82857142857142863</v>
      </c>
      <c r="O113">
        <f t="shared" si="12"/>
        <v>-0.28828828828828823</v>
      </c>
      <c r="Q113">
        <f t="shared" si="13"/>
        <v>70.81546928981895</v>
      </c>
      <c r="R113">
        <f t="shared" si="14"/>
        <v>70.81546928981895</v>
      </c>
      <c r="W113">
        <f t="shared" si="18"/>
        <v>0.115</v>
      </c>
      <c r="X113">
        <f t="shared" si="19"/>
        <v>-308.58436458982067</v>
      </c>
      <c r="Y113">
        <f t="shared" si="15"/>
        <v>51.415635410179334</v>
      </c>
      <c r="AA113">
        <f t="shared" si="16"/>
        <v>369.53525541017927</v>
      </c>
      <c r="AB113">
        <f t="shared" si="17"/>
        <v>9.5352554101792748</v>
      </c>
    </row>
    <row r="114" spans="1:28" x14ac:dyDescent="0.25">
      <c r="A114">
        <v>43625</v>
      </c>
      <c r="B114">
        <v>78.650000000000006</v>
      </c>
      <c r="C114">
        <v>3</v>
      </c>
      <c r="D114">
        <v>-19.05</v>
      </c>
      <c r="E114">
        <v>180</v>
      </c>
      <c r="F114">
        <v>6</v>
      </c>
      <c r="G114">
        <v>2</v>
      </c>
      <c r="H114">
        <v>79</v>
      </c>
      <c r="I114">
        <v>2</v>
      </c>
      <c r="L114">
        <f t="shared" si="10"/>
        <v>12.711</v>
      </c>
      <c r="N114">
        <f t="shared" si="11"/>
        <v>0.82857142857142863</v>
      </c>
      <c r="O114">
        <f t="shared" si="12"/>
        <v>-0.45945945945945954</v>
      </c>
      <c r="Q114">
        <f t="shared" si="13"/>
        <v>60.990753538307359</v>
      </c>
      <c r="R114">
        <f t="shared" si="14"/>
        <v>60.990753538307359</v>
      </c>
      <c r="W114">
        <f t="shared" si="18"/>
        <v>0.114</v>
      </c>
      <c r="X114">
        <f t="shared" si="19"/>
        <v>-317.55046458982065</v>
      </c>
      <c r="Y114">
        <f t="shared" si="15"/>
        <v>42.449535410179351</v>
      </c>
      <c r="AA114">
        <f t="shared" si="16"/>
        <v>363.58525541017929</v>
      </c>
      <c r="AB114">
        <f t="shared" si="17"/>
        <v>3.5852554101792862</v>
      </c>
    </row>
    <row r="115" spans="1:28" x14ac:dyDescent="0.25">
      <c r="A115">
        <v>43738</v>
      </c>
      <c r="B115">
        <v>74.86</v>
      </c>
      <c r="C115">
        <v>0.6</v>
      </c>
      <c r="D115">
        <v>-19.649999999999999</v>
      </c>
      <c r="E115">
        <v>180</v>
      </c>
      <c r="F115">
        <v>6</v>
      </c>
      <c r="G115">
        <v>2</v>
      </c>
      <c r="H115">
        <v>95</v>
      </c>
      <c r="I115">
        <v>2</v>
      </c>
      <c r="L115">
        <f t="shared" si="10"/>
        <v>12.824</v>
      </c>
      <c r="N115">
        <f t="shared" si="11"/>
        <v>0.67619047619047623</v>
      </c>
      <c r="O115">
        <f t="shared" si="12"/>
        <v>-0.49549549549549543</v>
      </c>
      <c r="Q115">
        <f t="shared" si="13"/>
        <v>53.766969576749254</v>
      </c>
      <c r="R115">
        <f t="shared" si="14"/>
        <v>53.766969576749254</v>
      </c>
      <c r="W115">
        <f t="shared" si="18"/>
        <v>0.113</v>
      </c>
      <c r="X115">
        <f t="shared" si="19"/>
        <v>-326.00964458982065</v>
      </c>
      <c r="Y115">
        <f t="shared" si="15"/>
        <v>33.990355410179347</v>
      </c>
      <c r="AA115">
        <f t="shared" si="16"/>
        <v>363.58525541017929</v>
      </c>
      <c r="AB115">
        <f t="shared" si="17"/>
        <v>3.5852554101792862</v>
      </c>
    </row>
    <row r="116" spans="1:28" x14ac:dyDescent="0.25">
      <c r="A116">
        <v>43852</v>
      </c>
      <c r="B116">
        <v>74.19</v>
      </c>
      <c r="C116">
        <v>-0.45</v>
      </c>
      <c r="D116">
        <v>-23.1</v>
      </c>
      <c r="E116">
        <v>180</v>
      </c>
      <c r="F116">
        <v>5</v>
      </c>
      <c r="G116">
        <v>2</v>
      </c>
      <c r="H116">
        <v>107</v>
      </c>
      <c r="I116">
        <v>2</v>
      </c>
      <c r="L116">
        <f t="shared" si="10"/>
        <v>12.938000000000001</v>
      </c>
      <c r="N116">
        <f t="shared" si="11"/>
        <v>0.60952380952380958</v>
      </c>
      <c r="O116">
        <f t="shared" si="12"/>
        <v>-0.70270270270270285</v>
      </c>
      <c r="Q116">
        <f t="shared" si="13"/>
        <v>40.938344985508458</v>
      </c>
      <c r="R116">
        <f t="shared" si="14"/>
        <v>40.938344985508458</v>
      </c>
      <c r="W116">
        <f t="shared" si="18"/>
        <v>0.114</v>
      </c>
      <c r="X116">
        <f t="shared" si="19"/>
        <v>-334.46730458982063</v>
      </c>
      <c r="Y116">
        <f t="shared" si="15"/>
        <v>25.532695410179372</v>
      </c>
      <c r="AA116">
        <f t="shared" si="16"/>
        <v>363.58525541017929</v>
      </c>
      <c r="AB116">
        <f t="shared" si="17"/>
        <v>3.5852554101792862</v>
      </c>
    </row>
    <row r="117" spans="1:28" x14ac:dyDescent="0.25">
      <c r="A117">
        <v>43967</v>
      </c>
      <c r="B117">
        <v>75.209999999999994</v>
      </c>
      <c r="C117">
        <v>-1.65</v>
      </c>
      <c r="D117">
        <v>-24.45</v>
      </c>
      <c r="E117">
        <v>178.9</v>
      </c>
      <c r="F117">
        <v>4</v>
      </c>
      <c r="G117">
        <v>3</v>
      </c>
      <c r="H117">
        <v>108</v>
      </c>
      <c r="I117">
        <v>1</v>
      </c>
      <c r="L117">
        <f t="shared" si="10"/>
        <v>13.053000000000001</v>
      </c>
      <c r="N117">
        <f t="shared" si="11"/>
        <v>0.53333333333333333</v>
      </c>
      <c r="O117">
        <f t="shared" si="12"/>
        <v>-0.78378378378378377</v>
      </c>
      <c r="Q117">
        <f t="shared" si="13"/>
        <v>34.233711743811675</v>
      </c>
      <c r="R117">
        <f t="shared" si="14"/>
        <v>34.233711743811675</v>
      </c>
      <c r="W117">
        <f t="shared" si="18"/>
        <v>0.115</v>
      </c>
      <c r="X117">
        <f t="shared" si="19"/>
        <v>-343.11645458982065</v>
      </c>
      <c r="Y117">
        <f t="shared" si="15"/>
        <v>16.883545410179352</v>
      </c>
      <c r="AA117">
        <f t="shared" si="16"/>
        <v>364.68525541017925</v>
      </c>
      <c r="AB117">
        <f t="shared" si="17"/>
        <v>4.6852554101792521</v>
      </c>
    </row>
    <row r="118" spans="1:28" x14ac:dyDescent="0.25">
      <c r="A118">
        <v>44083</v>
      </c>
      <c r="B118">
        <v>74.95</v>
      </c>
      <c r="C118">
        <v>-3.15</v>
      </c>
      <c r="D118">
        <v>-25.95</v>
      </c>
      <c r="E118">
        <v>179.4</v>
      </c>
      <c r="F118">
        <v>3</v>
      </c>
      <c r="G118">
        <v>3</v>
      </c>
      <c r="H118">
        <v>98</v>
      </c>
      <c r="I118">
        <v>2</v>
      </c>
      <c r="L118">
        <f t="shared" si="10"/>
        <v>13.169</v>
      </c>
      <c r="N118">
        <f t="shared" si="11"/>
        <v>0.43809523809523809</v>
      </c>
      <c r="O118">
        <f t="shared" si="12"/>
        <v>-0.87387387387387383</v>
      </c>
      <c r="Q118">
        <f t="shared" si="13"/>
        <v>26.625774425140932</v>
      </c>
      <c r="R118">
        <f t="shared" si="14"/>
        <v>26.625774425140932</v>
      </c>
      <c r="W118">
        <f t="shared" si="18"/>
        <v>0.11600000000000001</v>
      </c>
      <c r="X118">
        <f t="shared" si="19"/>
        <v>-351.81065458982067</v>
      </c>
      <c r="Y118">
        <f t="shared" si="15"/>
        <v>8.1893454101793282</v>
      </c>
      <c r="AA118">
        <f t="shared" si="16"/>
        <v>364.18525541017925</v>
      </c>
      <c r="AB118">
        <f t="shared" si="17"/>
        <v>4.1852554101792521</v>
      </c>
    </row>
    <row r="119" spans="1:28" x14ac:dyDescent="0.25">
      <c r="A119">
        <v>44197</v>
      </c>
      <c r="B119">
        <v>73.819999999999993</v>
      </c>
      <c r="C119">
        <v>-4.2</v>
      </c>
      <c r="D119">
        <v>-26.25</v>
      </c>
      <c r="E119">
        <v>71.569999999999993</v>
      </c>
      <c r="F119">
        <v>3</v>
      </c>
      <c r="G119">
        <v>4</v>
      </c>
      <c r="H119">
        <v>2</v>
      </c>
      <c r="I119">
        <v>1</v>
      </c>
      <c r="L119">
        <f t="shared" si="10"/>
        <v>13.282999999999999</v>
      </c>
      <c r="N119">
        <f t="shared" si="11"/>
        <v>0.37142857142857144</v>
      </c>
      <c r="O119">
        <f t="shared" si="12"/>
        <v>-0.891891891891892</v>
      </c>
      <c r="Q119">
        <f t="shared" si="13"/>
        <v>22.609297020798493</v>
      </c>
      <c r="R119">
        <f t="shared" si="14"/>
        <v>22.609297020798493</v>
      </c>
      <c r="W119">
        <f t="shared" si="18"/>
        <v>0.114</v>
      </c>
      <c r="X119">
        <f t="shared" si="19"/>
        <v>-360.22613458982067</v>
      </c>
      <c r="Y119">
        <f t="shared" si="15"/>
        <v>359.77386541017927</v>
      </c>
      <c r="AA119">
        <f t="shared" si="16"/>
        <v>472.01525541017929</v>
      </c>
      <c r="AB119">
        <f t="shared" si="17"/>
        <v>112.01525541017929</v>
      </c>
    </row>
    <row r="120" spans="1:28" x14ac:dyDescent="0.25">
      <c r="A120">
        <v>44310</v>
      </c>
      <c r="B120">
        <v>73.930000000000007</v>
      </c>
      <c r="C120">
        <v>-5.85</v>
      </c>
      <c r="D120">
        <v>-26.1</v>
      </c>
      <c r="E120">
        <v>176.42</v>
      </c>
      <c r="F120">
        <v>2</v>
      </c>
      <c r="G120">
        <v>5</v>
      </c>
      <c r="H120">
        <v>66</v>
      </c>
      <c r="I120">
        <v>1</v>
      </c>
      <c r="L120">
        <f t="shared" si="10"/>
        <v>13.396000000000001</v>
      </c>
      <c r="N120">
        <f t="shared" si="11"/>
        <v>0.26666666666666672</v>
      </c>
      <c r="O120">
        <f t="shared" si="12"/>
        <v>-0.88288288288288297</v>
      </c>
      <c r="Q120">
        <f t="shared" si="13"/>
        <v>16.806459265126669</v>
      </c>
      <c r="R120">
        <f t="shared" si="14"/>
        <v>16.806459265126669</v>
      </c>
      <c r="W120">
        <f t="shared" si="18"/>
        <v>0.113</v>
      </c>
      <c r="X120">
        <f t="shared" si="19"/>
        <v>-368.58022458982066</v>
      </c>
      <c r="Y120">
        <f t="shared" si="15"/>
        <v>351.41977541017934</v>
      </c>
      <c r="AA120">
        <f t="shared" si="16"/>
        <v>367.16525541017927</v>
      </c>
      <c r="AB120">
        <f t="shared" si="17"/>
        <v>7.1652554101792703</v>
      </c>
    </row>
    <row r="121" spans="1:28" x14ac:dyDescent="0.25">
      <c r="A121">
        <v>44425</v>
      </c>
      <c r="B121">
        <v>74.680000000000007</v>
      </c>
      <c r="C121">
        <v>-8.85</v>
      </c>
      <c r="D121">
        <v>-27</v>
      </c>
      <c r="E121">
        <v>174.92</v>
      </c>
      <c r="F121">
        <v>2</v>
      </c>
      <c r="G121">
        <v>6</v>
      </c>
      <c r="H121">
        <v>47</v>
      </c>
      <c r="I121">
        <v>2</v>
      </c>
      <c r="L121">
        <f t="shared" si="10"/>
        <v>13.510999999999999</v>
      </c>
      <c r="N121">
        <f t="shared" si="11"/>
        <v>7.6190476190476253E-2</v>
      </c>
      <c r="O121">
        <f t="shared" si="12"/>
        <v>-0.93693693693693703</v>
      </c>
      <c r="Q121">
        <f t="shared" si="13"/>
        <v>4.6489877461399809</v>
      </c>
      <c r="R121">
        <f t="shared" si="14"/>
        <v>4.6489877461399809</v>
      </c>
      <c r="W121">
        <f t="shared" si="18"/>
        <v>0.115</v>
      </c>
      <c r="X121">
        <f t="shared" si="19"/>
        <v>-377.16842458982069</v>
      </c>
      <c r="Y121">
        <f t="shared" si="15"/>
        <v>342.83157541017931</v>
      </c>
      <c r="AA121">
        <f t="shared" si="16"/>
        <v>368.66525541017927</v>
      </c>
      <c r="AB121">
        <f t="shared" si="17"/>
        <v>8.6652554101792703</v>
      </c>
    </row>
    <row r="122" spans="1:28" x14ac:dyDescent="0.25">
      <c r="A122">
        <v>44539</v>
      </c>
      <c r="B122">
        <v>71.260000000000005</v>
      </c>
      <c r="C122">
        <v>-9.9</v>
      </c>
      <c r="D122">
        <v>-26.25</v>
      </c>
      <c r="E122">
        <v>172.41</v>
      </c>
      <c r="F122">
        <v>2</v>
      </c>
      <c r="G122">
        <v>7</v>
      </c>
      <c r="H122">
        <v>32</v>
      </c>
      <c r="I122">
        <v>3</v>
      </c>
      <c r="L122">
        <f t="shared" si="10"/>
        <v>13.625</v>
      </c>
      <c r="N122">
        <f t="shared" si="11"/>
        <v>9.5238095238095472E-3</v>
      </c>
      <c r="O122">
        <f t="shared" si="12"/>
        <v>-0.891891891891892</v>
      </c>
      <c r="Q122">
        <f t="shared" si="13"/>
        <v>0.61179315224849395</v>
      </c>
      <c r="R122">
        <f t="shared" si="14"/>
        <v>0.61179315224849395</v>
      </c>
      <c r="W122">
        <f t="shared" si="18"/>
        <v>0.114</v>
      </c>
      <c r="X122">
        <f t="shared" si="19"/>
        <v>-385.29206458982071</v>
      </c>
      <c r="Y122">
        <f t="shared" si="15"/>
        <v>334.70793541017929</v>
      </c>
      <c r="AA122">
        <f t="shared" si="16"/>
        <v>371.17525541017926</v>
      </c>
      <c r="AB122">
        <f t="shared" si="17"/>
        <v>11.175255410179261</v>
      </c>
    </row>
    <row r="123" spans="1:28" x14ac:dyDescent="0.25">
      <c r="A123">
        <v>44654</v>
      </c>
      <c r="B123">
        <v>74.84</v>
      </c>
      <c r="C123">
        <v>-11.85</v>
      </c>
      <c r="D123">
        <v>-26.85</v>
      </c>
      <c r="E123">
        <v>198.43</v>
      </c>
      <c r="F123">
        <v>2</v>
      </c>
      <c r="G123">
        <v>7</v>
      </c>
      <c r="H123">
        <v>17</v>
      </c>
      <c r="I123">
        <v>12</v>
      </c>
      <c r="L123">
        <f t="shared" si="10"/>
        <v>13.74</v>
      </c>
      <c r="N123">
        <f t="shared" si="11"/>
        <v>-0.11428571428571421</v>
      </c>
      <c r="O123">
        <f t="shared" si="12"/>
        <v>-0.92792792792792811</v>
      </c>
      <c r="Q123">
        <f t="shared" si="13"/>
        <v>-7.0213190056920656</v>
      </c>
      <c r="R123">
        <f t="shared" si="14"/>
        <v>352.97868099430792</v>
      </c>
      <c r="W123">
        <f t="shared" si="18"/>
        <v>0.115</v>
      </c>
      <c r="X123">
        <f t="shared" si="19"/>
        <v>-393.89866458982073</v>
      </c>
      <c r="Y123">
        <f t="shared" si="15"/>
        <v>326.10133541017922</v>
      </c>
      <c r="AA123">
        <f t="shared" si="16"/>
        <v>345.15525541017928</v>
      </c>
      <c r="AB123">
        <f t="shared" si="17"/>
        <v>345.15525541017928</v>
      </c>
    </row>
    <row r="124" spans="1:28" x14ac:dyDescent="0.25">
      <c r="A124">
        <v>44770</v>
      </c>
      <c r="B124">
        <v>75.400000000000006</v>
      </c>
      <c r="C124">
        <v>-15.9</v>
      </c>
      <c r="D124">
        <v>-25.95</v>
      </c>
      <c r="E124">
        <v>259.7</v>
      </c>
      <c r="F124">
        <v>2</v>
      </c>
      <c r="G124">
        <v>7</v>
      </c>
      <c r="H124">
        <v>6</v>
      </c>
      <c r="I124">
        <v>29</v>
      </c>
      <c r="L124">
        <f t="shared" si="10"/>
        <v>13.856</v>
      </c>
      <c r="N124">
        <f t="shared" si="11"/>
        <v>-0.37142857142857139</v>
      </c>
      <c r="O124">
        <f t="shared" si="12"/>
        <v>-0.87387387387387383</v>
      </c>
      <c r="Q124">
        <f t="shared" si="13"/>
        <v>-23.027278805201622</v>
      </c>
      <c r="R124">
        <f t="shared" si="14"/>
        <v>336.9727211947984</v>
      </c>
      <c r="W124">
        <f t="shared" si="18"/>
        <v>0.11600000000000001</v>
      </c>
      <c r="X124">
        <f t="shared" si="19"/>
        <v>-402.64506458982072</v>
      </c>
      <c r="Y124">
        <f t="shared" si="15"/>
        <v>317.35493541017922</v>
      </c>
      <c r="AA124">
        <f t="shared" si="16"/>
        <v>283.8852554101793</v>
      </c>
      <c r="AB124">
        <f t="shared" si="17"/>
        <v>283.8852554101793</v>
      </c>
    </row>
    <row r="125" spans="1:28" x14ac:dyDescent="0.25">
      <c r="A125">
        <v>44886</v>
      </c>
      <c r="B125">
        <v>72.3</v>
      </c>
      <c r="C125">
        <v>-16.8</v>
      </c>
      <c r="D125">
        <v>-23.55</v>
      </c>
      <c r="E125">
        <v>267.27</v>
      </c>
      <c r="F125">
        <v>2</v>
      </c>
      <c r="G125">
        <v>5</v>
      </c>
      <c r="H125">
        <v>4</v>
      </c>
      <c r="I125">
        <v>47</v>
      </c>
      <c r="L125">
        <f t="shared" si="10"/>
        <v>13.972</v>
      </c>
      <c r="N125">
        <f t="shared" si="11"/>
        <v>-0.42857142857142855</v>
      </c>
      <c r="O125">
        <f t="shared" si="12"/>
        <v>-0.72972972972972983</v>
      </c>
      <c r="Q125">
        <f t="shared" si="13"/>
        <v>-30.425783801961263</v>
      </c>
      <c r="R125">
        <f t="shared" si="14"/>
        <v>329.57421619803876</v>
      </c>
      <c r="W125">
        <f t="shared" si="18"/>
        <v>0.11600000000000001</v>
      </c>
      <c r="X125">
        <f t="shared" si="19"/>
        <v>-411.03186458982071</v>
      </c>
      <c r="Y125">
        <f t="shared" si="15"/>
        <v>308.96813541017923</v>
      </c>
      <c r="AA125">
        <f t="shared" si="16"/>
        <v>276.3152554101793</v>
      </c>
      <c r="AB125">
        <f t="shared" si="17"/>
        <v>276.3152554101793</v>
      </c>
    </row>
    <row r="126" spans="1:28" x14ac:dyDescent="0.25">
      <c r="A126">
        <v>45002</v>
      </c>
      <c r="B126">
        <v>73.63</v>
      </c>
      <c r="C126">
        <v>-18.75</v>
      </c>
      <c r="D126">
        <v>-24</v>
      </c>
      <c r="E126">
        <v>269.02999999999997</v>
      </c>
      <c r="F126">
        <v>2</v>
      </c>
      <c r="G126">
        <v>5</v>
      </c>
      <c r="H126">
        <v>3</v>
      </c>
      <c r="I126">
        <v>64</v>
      </c>
      <c r="L126">
        <f t="shared" si="10"/>
        <v>14.087999999999999</v>
      </c>
      <c r="N126">
        <f t="shared" si="11"/>
        <v>-0.55238095238095231</v>
      </c>
      <c r="O126">
        <f t="shared" si="12"/>
        <v>-0.7567567567567568</v>
      </c>
      <c r="Q126">
        <f t="shared" si="13"/>
        <v>-36.126901382234706</v>
      </c>
      <c r="R126">
        <f t="shared" si="14"/>
        <v>323.87309861776532</v>
      </c>
      <c r="W126">
        <f t="shared" si="18"/>
        <v>0.11600000000000001</v>
      </c>
      <c r="X126">
        <f t="shared" si="19"/>
        <v>-419.57294458982074</v>
      </c>
      <c r="Y126">
        <f t="shared" si="15"/>
        <v>300.42705541017926</v>
      </c>
      <c r="AA126">
        <f t="shared" si="16"/>
        <v>274.55525541017931</v>
      </c>
      <c r="AB126">
        <f t="shared" si="17"/>
        <v>274.55525541017931</v>
      </c>
    </row>
    <row r="127" spans="1:28" x14ac:dyDescent="0.25">
      <c r="A127">
        <v>45117</v>
      </c>
      <c r="B127">
        <v>73.819999999999993</v>
      </c>
      <c r="C127">
        <v>-20.25</v>
      </c>
      <c r="D127">
        <v>-23.4</v>
      </c>
      <c r="E127">
        <v>268.32</v>
      </c>
      <c r="F127">
        <v>2</v>
      </c>
      <c r="G127">
        <v>4</v>
      </c>
      <c r="H127">
        <v>4</v>
      </c>
      <c r="I127">
        <v>72</v>
      </c>
      <c r="L127">
        <f t="shared" si="10"/>
        <v>14.202999999999999</v>
      </c>
      <c r="N127">
        <f t="shared" si="11"/>
        <v>-0.64761904761904754</v>
      </c>
      <c r="O127">
        <f t="shared" si="12"/>
        <v>-0.72072072072072069</v>
      </c>
      <c r="Q127">
        <f t="shared" si="13"/>
        <v>-41.941958749983883</v>
      </c>
      <c r="R127">
        <f t="shared" si="14"/>
        <v>318.05804125001612</v>
      </c>
      <c r="W127">
        <f t="shared" si="18"/>
        <v>0.115</v>
      </c>
      <c r="X127">
        <f t="shared" si="19"/>
        <v>-428.06224458982075</v>
      </c>
      <c r="Y127">
        <f t="shared" si="15"/>
        <v>291.93775541017931</v>
      </c>
      <c r="AA127">
        <f t="shared" si="16"/>
        <v>275.26525541017929</v>
      </c>
      <c r="AB127">
        <f t="shared" si="17"/>
        <v>275.26525541017929</v>
      </c>
    </row>
    <row r="128" spans="1:28" x14ac:dyDescent="0.25">
      <c r="A128">
        <v>45233</v>
      </c>
      <c r="B128">
        <v>74.5</v>
      </c>
      <c r="C128">
        <v>-22.2</v>
      </c>
      <c r="D128">
        <v>-19.8</v>
      </c>
      <c r="E128">
        <v>267.74</v>
      </c>
      <c r="F128">
        <v>1</v>
      </c>
      <c r="G128">
        <v>3</v>
      </c>
      <c r="H128">
        <v>4</v>
      </c>
      <c r="I128">
        <v>79</v>
      </c>
      <c r="L128">
        <f t="shared" si="10"/>
        <v>14.319000000000001</v>
      </c>
      <c r="N128">
        <f t="shared" si="11"/>
        <v>-0.77142857142857135</v>
      </c>
      <c r="O128">
        <f t="shared" si="12"/>
        <v>-0.50450450450450457</v>
      </c>
      <c r="Q128">
        <f t="shared" si="13"/>
        <v>-56.815822732540248</v>
      </c>
      <c r="R128">
        <f t="shared" si="14"/>
        <v>303.18417726745975</v>
      </c>
      <c r="W128">
        <f t="shared" si="18"/>
        <v>0.11600000000000001</v>
      </c>
      <c r="X128">
        <f t="shared" si="19"/>
        <v>-436.70424458982075</v>
      </c>
      <c r="Y128">
        <f t="shared" si="15"/>
        <v>283.29575541017925</v>
      </c>
      <c r="AA128">
        <f t="shared" si="16"/>
        <v>275.84525541017928</v>
      </c>
      <c r="AB128">
        <f t="shared" si="17"/>
        <v>275.84525541017928</v>
      </c>
    </row>
    <row r="129" spans="1:28" x14ac:dyDescent="0.25">
      <c r="A129">
        <v>45349</v>
      </c>
      <c r="B129">
        <v>76.05</v>
      </c>
      <c r="C129">
        <v>-23.25</v>
      </c>
      <c r="D129">
        <v>-18.45</v>
      </c>
      <c r="E129">
        <v>267.06</v>
      </c>
      <c r="F129">
        <v>1</v>
      </c>
      <c r="G129">
        <v>2</v>
      </c>
      <c r="H129">
        <v>5</v>
      </c>
      <c r="I129">
        <v>80</v>
      </c>
      <c r="L129">
        <f t="shared" si="10"/>
        <v>14.435</v>
      </c>
      <c r="N129">
        <f t="shared" si="11"/>
        <v>-0.838095238095238</v>
      </c>
      <c r="O129">
        <f t="shared" si="12"/>
        <v>-0.42342342342342337</v>
      </c>
      <c r="Q129">
        <f t="shared" si="13"/>
        <v>-63.196129989797903</v>
      </c>
      <c r="R129">
        <f t="shared" si="14"/>
        <v>296.8038700102021</v>
      </c>
      <c r="W129">
        <f t="shared" si="18"/>
        <v>0.11600000000000001</v>
      </c>
      <c r="X129">
        <f t="shared" si="19"/>
        <v>-445.52604458982074</v>
      </c>
      <c r="Y129">
        <f t="shared" si="15"/>
        <v>274.47395541017931</v>
      </c>
      <c r="AA129">
        <f t="shared" si="16"/>
        <v>276.52525541017928</v>
      </c>
      <c r="AB129">
        <f t="shared" si="17"/>
        <v>276.52525541017928</v>
      </c>
    </row>
    <row r="130" spans="1:28" x14ac:dyDescent="0.25">
      <c r="A130">
        <v>45464</v>
      </c>
      <c r="B130">
        <v>75.13</v>
      </c>
      <c r="C130">
        <v>-23.1</v>
      </c>
      <c r="D130">
        <v>-17.100000000000001</v>
      </c>
      <c r="E130">
        <v>265.86</v>
      </c>
      <c r="F130">
        <v>1</v>
      </c>
      <c r="G130">
        <v>2</v>
      </c>
      <c r="H130">
        <v>6</v>
      </c>
      <c r="I130">
        <v>71</v>
      </c>
      <c r="L130">
        <f t="shared" si="10"/>
        <v>14.55</v>
      </c>
      <c r="N130">
        <f t="shared" si="11"/>
        <v>-0.82857142857142863</v>
      </c>
      <c r="O130">
        <f t="shared" si="12"/>
        <v>-0.34234234234234245</v>
      </c>
      <c r="Q130">
        <f t="shared" si="13"/>
        <v>-67.550966522291091</v>
      </c>
      <c r="R130">
        <f t="shared" si="14"/>
        <v>292.44903347770889</v>
      </c>
      <c r="W130">
        <f t="shared" si="18"/>
        <v>0.115</v>
      </c>
      <c r="X130">
        <f t="shared" si="19"/>
        <v>-454.16599458982074</v>
      </c>
      <c r="Y130">
        <f t="shared" si="15"/>
        <v>265.83400541017932</v>
      </c>
      <c r="AA130">
        <f t="shared" si="16"/>
        <v>277.72525541017927</v>
      </c>
      <c r="AB130">
        <f t="shared" si="17"/>
        <v>277.72525541017927</v>
      </c>
    </row>
    <row r="131" spans="1:28" x14ac:dyDescent="0.25">
      <c r="A131">
        <v>45580</v>
      </c>
      <c r="B131">
        <v>73.73</v>
      </c>
      <c r="C131">
        <v>-25.8</v>
      </c>
      <c r="D131">
        <v>-12.9</v>
      </c>
      <c r="E131">
        <v>168.69</v>
      </c>
      <c r="F131">
        <v>1</v>
      </c>
      <c r="G131">
        <v>2</v>
      </c>
      <c r="H131">
        <v>6</v>
      </c>
      <c r="I131">
        <v>1</v>
      </c>
      <c r="L131">
        <f t="shared" ref="L131:L194" si="20">(A131-$A$2)/1000</f>
        <v>14.666</v>
      </c>
      <c r="N131">
        <f t="shared" ref="N131:N194" si="21">(C131-$U$3)/((MAX(C:C)-MIN(C:C))/2)</f>
        <v>-1</v>
      </c>
      <c r="O131">
        <f t="shared" ref="O131:O194" si="22">(D131-$U$4)/((MAX(D:D)-MIN(D:D))/2)</f>
        <v>-9.00900900900901E-2</v>
      </c>
      <c r="Q131">
        <f t="shared" ref="Q131:Q194" si="23">ATAN2(-O131,N131)*180/PI()</f>
        <v>-84.852115175863688</v>
      </c>
      <c r="R131">
        <f t="shared" ref="R131:R194" si="24">IF(Q131&lt;0,Q131+360,Q131)</f>
        <v>275.14788482413633</v>
      </c>
      <c r="W131">
        <f t="shared" si="18"/>
        <v>0.11600000000000001</v>
      </c>
      <c r="X131">
        <f t="shared" si="19"/>
        <v>-462.71867458982075</v>
      </c>
      <c r="Y131">
        <f t="shared" ref="Y131:Y194" si="25">MOD((MOD(X131,360)+360),360)</f>
        <v>257.28132541017931</v>
      </c>
      <c r="AA131">
        <f t="shared" ref="AA131:AA194" si="26">-E131+$E$2+$R$2</f>
        <v>374.89525541017929</v>
      </c>
      <c r="AB131">
        <f t="shared" ref="AB131:AB194" si="27">IF(AA131&gt;360,AA131-360,AA131)</f>
        <v>14.895255410179288</v>
      </c>
    </row>
    <row r="132" spans="1:28" x14ac:dyDescent="0.25">
      <c r="A132">
        <v>45694</v>
      </c>
      <c r="B132">
        <v>73.989999999999995</v>
      </c>
      <c r="C132">
        <v>-24.15</v>
      </c>
      <c r="D132">
        <v>-11.25</v>
      </c>
      <c r="E132">
        <v>264.39999999999998</v>
      </c>
      <c r="F132">
        <v>1</v>
      </c>
      <c r="G132">
        <v>2</v>
      </c>
      <c r="H132">
        <v>6</v>
      </c>
      <c r="I132">
        <v>53</v>
      </c>
      <c r="L132">
        <f t="shared" si="20"/>
        <v>14.78</v>
      </c>
      <c r="N132">
        <f t="shared" si="21"/>
        <v>-0.89523809523809506</v>
      </c>
      <c r="O132">
        <f t="shared" si="22"/>
        <v>9.0090090090090315E-3</v>
      </c>
      <c r="Q132">
        <f t="shared" si="23"/>
        <v>-90.576562562871302</v>
      </c>
      <c r="R132">
        <f t="shared" si="24"/>
        <v>269.42343743712871</v>
      </c>
      <c r="W132">
        <f t="shared" ref="W132:W195" si="28">(A132-A131)/1000</f>
        <v>0.114</v>
      </c>
      <c r="X132">
        <f t="shared" ref="X132:X195" si="29">X131-B132*W132</f>
        <v>-471.15353458982077</v>
      </c>
      <c r="Y132">
        <f t="shared" si="25"/>
        <v>248.84646541017923</v>
      </c>
      <c r="AA132">
        <f t="shared" si="26"/>
        <v>279.18525541017931</v>
      </c>
      <c r="AB132">
        <f t="shared" si="27"/>
        <v>279.18525541017931</v>
      </c>
    </row>
    <row r="133" spans="1:28" x14ac:dyDescent="0.25">
      <c r="A133">
        <v>45810</v>
      </c>
      <c r="B133">
        <v>74.25</v>
      </c>
      <c r="C133">
        <v>-24.75</v>
      </c>
      <c r="D133">
        <v>-6.75</v>
      </c>
      <c r="E133">
        <v>262.69</v>
      </c>
      <c r="F133">
        <v>2</v>
      </c>
      <c r="G133">
        <v>1</v>
      </c>
      <c r="H133">
        <v>7</v>
      </c>
      <c r="I133">
        <v>40</v>
      </c>
      <c r="L133">
        <f t="shared" si="20"/>
        <v>14.896000000000001</v>
      </c>
      <c r="N133">
        <f t="shared" si="21"/>
        <v>-0.93333333333333324</v>
      </c>
      <c r="O133">
        <f t="shared" si="22"/>
        <v>0.27927927927927931</v>
      </c>
      <c r="Q133">
        <f t="shared" si="23"/>
        <v>-106.65864492846757</v>
      </c>
      <c r="R133">
        <f t="shared" si="24"/>
        <v>253.34135507153243</v>
      </c>
      <c r="W133">
        <f t="shared" si="28"/>
        <v>0.11600000000000001</v>
      </c>
      <c r="X133">
        <f t="shared" si="29"/>
        <v>-479.76653458982076</v>
      </c>
      <c r="Y133">
        <f t="shared" si="25"/>
        <v>240.23346541017918</v>
      </c>
      <c r="AA133">
        <f t="shared" si="26"/>
        <v>280.89525541017929</v>
      </c>
      <c r="AB133">
        <f t="shared" si="27"/>
        <v>280.89525541017929</v>
      </c>
    </row>
    <row r="134" spans="1:28" x14ac:dyDescent="0.25">
      <c r="A134">
        <v>45925</v>
      </c>
      <c r="B134">
        <v>77.02</v>
      </c>
      <c r="C134">
        <v>-23.55</v>
      </c>
      <c r="D134">
        <v>-5.55</v>
      </c>
      <c r="E134">
        <v>267.70999999999998</v>
      </c>
      <c r="F134">
        <v>6</v>
      </c>
      <c r="G134">
        <v>1</v>
      </c>
      <c r="H134">
        <v>7</v>
      </c>
      <c r="I134">
        <v>26</v>
      </c>
      <c r="L134">
        <f t="shared" si="20"/>
        <v>15.010999999999999</v>
      </c>
      <c r="N134">
        <f t="shared" si="21"/>
        <v>-0.8571428571428571</v>
      </c>
      <c r="O134">
        <f t="shared" si="22"/>
        <v>0.35135135135135143</v>
      </c>
      <c r="Q134">
        <f t="shared" si="23"/>
        <v>-112.28921006444904</v>
      </c>
      <c r="R134">
        <f t="shared" si="24"/>
        <v>247.71078993555096</v>
      </c>
      <c r="W134">
        <f t="shared" si="28"/>
        <v>0.115</v>
      </c>
      <c r="X134">
        <f t="shared" si="29"/>
        <v>-488.62383458982077</v>
      </c>
      <c r="Y134">
        <f t="shared" si="25"/>
        <v>231.37616541017928</v>
      </c>
      <c r="AA134">
        <f t="shared" si="26"/>
        <v>275.87525541017931</v>
      </c>
      <c r="AB134">
        <f t="shared" si="27"/>
        <v>275.87525541017931</v>
      </c>
    </row>
    <row r="135" spans="1:28" x14ac:dyDescent="0.25">
      <c r="A135">
        <v>46039</v>
      </c>
      <c r="B135">
        <v>74.88</v>
      </c>
      <c r="C135">
        <v>-22.95</v>
      </c>
      <c r="D135">
        <v>-3.75</v>
      </c>
      <c r="E135">
        <v>318.81</v>
      </c>
      <c r="F135">
        <v>23</v>
      </c>
      <c r="G135">
        <v>1</v>
      </c>
      <c r="H135">
        <v>7</v>
      </c>
      <c r="I135">
        <v>15</v>
      </c>
      <c r="L135">
        <f t="shared" si="20"/>
        <v>15.125</v>
      </c>
      <c r="N135">
        <f t="shared" si="21"/>
        <v>-0.81904761904761891</v>
      </c>
      <c r="O135">
        <f t="shared" si="22"/>
        <v>0.45945945945945954</v>
      </c>
      <c r="Q135">
        <f t="shared" si="23"/>
        <v>-119.29102811791947</v>
      </c>
      <c r="R135">
        <f t="shared" si="24"/>
        <v>240.70897188208053</v>
      </c>
      <c r="W135">
        <f t="shared" si="28"/>
        <v>0.114</v>
      </c>
      <c r="X135">
        <f t="shared" si="29"/>
        <v>-497.16015458982076</v>
      </c>
      <c r="Y135">
        <f t="shared" si="25"/>
        <v>222.83984541017924</v>
      </c>
      <c r="AA135">
        <f t="shared" si="26"/>
        <v>224.77525541017928</v>
      </c>
      <c r="AB135">
        <f t="shared" si="27"/>
        <v>224.77525541017928</v>
      </c>
    </row>
    <row r="136" spans="1:28" x14ac:dyDescent="0.25">
      <c r="A136">
        <v>46155</v>
      </c>
      <c r="B136">
        <v>74.14</v>
      </c>
      <c r="C136">
        <v>-20.25</v>
      </c>
      <c r="D136">
        <v>-2.1</v>
      </c>
      <c r="E136">
        <v>352.87</v>
      </c>
      <c r="F136">
        <v>53</v>
      </c>
      <c r="G136">
        <v>2</v>
      </c>
      <c r="H136">
        <v>5</v>
      </c>
      <c r="I136">
        <v>8</v>
      </c>
      <c r="L136">
        <f t="shared" si="20"/>
        <v>15.241</v>
      </c>
      <c r="N136">
        <f t="shared" si="21"/>
        <v>-0.64761904761904754</v>
      </c>
      <c r="O136">
        <f t="shared" si="22"/>
        <v>0.55855855855855863</v>
      </c>
      <c r="Q136">
        <f t="shared" si="23"/>
        <v>-130.77711686910291</v>
      </c>
      <c r="R136">
        <f t="shared" si="24"/>
        <v>229.22288313089709</v>
      </c>
      <c r="W136">
        <f t="shared" si="28"/>
        <v>0.11600000000000001</v>
      </c>
      <c r="X136">
        <f t="shared" si="29"/>
        <v>-505.76039458982075</v>
      </c>
      <c r="Y136">
        <f t="shared" si="25"/>
        <v>214.23960541017925</v>
      </c>
      <c r="AA136">
        <f t="shared" si="26"/>
        <v>190.71525541017928</v>
      </c>
      <c r="AB136">
        <f t="shared" si="27"/>
        <v>190.71525541017928</v>
      </c>
    </row>
    <row r="137" spans="1:28" x14ac:dyDescent="0.25">
      <c r="A137">
        <v>46269</v>
      </c>
      <c r="B137">
        <v>76.349999999999994</v>
      </c>
      <c r="C137">
        <v>-19.95</v>
      </c>
      <c r="D137">
        <v>0.3</v>
      </c>
      <c r="E137">
        <v>357.24</v>
      </c>
      <c r="F137">
        <v>89</v>
      </c>
      <c r="G137">
        <v>0</v>
      </c>
      <c r="H137">
        <v>6</v>
      </c>
      <c r="I137">
        <v>4</v>
      </c>
      <c r="L137">
        <f t="shared" si="20"/>
        <v>15.355</v>
      </c>
      <c r="N137">
        <f t="shared" si="21"/>
        <v>-0.62857142857142845</v>
      </c>
      <c r="O137">
        <f t="shared" si="22"/>
        <v>0.70270270270270285</v>
      </c>
      <c r="Q137">
        <f t="shared" si="23"/>
        <v>-138.18719272320502</v>
      </c>
      <c r="R137">
        <f t="shared" si="24"/>
        <v>221.81280727679498</v>
      </c>
      <c r="W137">
        <f t="shared" si="28"/>
        <v>0.114</v>
      </c>
      <c r="X137">
        <f t="shared" si="29"/>
        <v>-514.46429458982072</v>
      </c>
      <c r="Y137">
        <f t="shared" si="25"/>
        <v>205.53570541017928</v>
      </c>
      <c r="AA137">
        <f t="shared" si="26"/>
        <v>186.34525541017928</v>
      </c>
      <c r="AB137">
        <f t="shared" si="27"/>
        <v>186.34525541017928</v>
      </c>
    </row>
    <row r="138" spans="1:28" x14ac:dyDescent="0.25">
      <c r="A138">
        <v>46383</v>
      </c>
      <c r="B138">
        <v>74.83</v>
      </c>
      <c r="C138">
        <v>-16.8</v>
      </c>
      <c r="D138">
        <v>0.9</v>
      </c>
      <c r="E138">
        <v>358.04</v>
      </c>
      <c r="F138">
        <v>122</v>
      </c>
      <c r="G138">
        <v>0</v>
      </c>
      <c r="H138">
        <v>5</v>
      </c>
      <c r="I138">
        <v>4</v>
      </c>
      <c r="L138">
        <f t="shared" si="20"/>
        <v>15.468999999999999</v>
      </c>
      <c r="N138">
        <f t="shared" si="21"/>
        <v>-0.42857142857142855</v>
      </c>
      <c r="O138">
        <f t="shared" si="22"/>
        <v>0.73873873873873885</v>
      </c>
      <c r="Q138">
        <f t="shared" si="23"/>
        <v>-149.88029184791682</v>
      </c>
      <c r="R138">
        <f t="shared" si="24"/>
        <v>210.11970815208318</v>
      </c>
      <c r="W138">
        <f t="shared" si="28"/>
        <v>0.114</v>
      </c>
      <c r="X138">
        <f t="shared" si="29"/>
        <v>-522.99491458982072</v>
      </c>
      <c r="Y138">
        <f t="shared" si="25"/>
        <v>197.00508541017928</v>
      </c>
      <c r="AA138">
        <f t="shared" si="26"/>
        <v>185.54525541017927</v>
      </c>
      <c r="AB138">
        <f t="shared" si="27"/>
        <v>185.54525541017927</v>
      </c>
    </row>
    <row r="139" spans="1:28" x14ac:dyDescent="0.25">
      <c r="A139">
        <v>46497</v>
      </c>
      <c r="B139">
        <v>73.040000000000006</v>
      </c>
      <c r="C139">
        <v>-15.75</v>
      </c>
      <c r="D139">
        <v>3</v>
      </c>
      <c r="E139">
        <v>358.88</v>
      </c>
      <c r="F139">
        <v>156</v>
      </c>
      <c r="G139">
        <v>1</v>
      </c>
      <c r="H139">
        <v>3</v>
      </c>
      <c r="I139">
        <v>4</v>
      </c>
      <c r="L139">
        <f t="shared" si="20"/>
        <v>15.583</v>
      </c>
      <c r="N139">
        <f t="shared" si="21"/>
        <v>-0.36190476190476184</v>
      </c>
      <c r="O139">
        <f t="shared" si="22"/>
        <v>0.86486486486486491</v>
      </c>
      <c r="Q139">
        <f t="shared" si="23"/>
        <v>-157.29301165290053</v>
      </c>
      <c r="R139">
        <f t="shared" si="24"/>
        <v>202.70698834709947</v>
      </c>
      <c r="W139">
        <f t="shared" si="28"/>
        <v>0.114</v>
      </c>
      <c r="X139">
        <f t="shared" si="29"/>
        <v>-531.3214745898207</v>
      </c>
      <c r="Y139">
        <f t="shared" si="25"/>
        <v>188.6785254101793</v>
      </c>
      <c r="AA139">
        <f t="shared" si="26"/>
        <v>184.70525541017929</v>
      </c>
      <c r="AB139">
        <f t="shared" si="27"/>
        <v>184.70525541017929</v>
      </c>
    </row>
    <row r="140" spans="1:28" x14ac:dyDescent="0.25">
      <c r="A140">
        <v>46612</v>
      </c>
      <c r="B140">
        <v>74.53</v>
      </c>
      <c r="C140">
        <v>-12.9</v>
      </c>
      <c r="D140">
        <v>4.2</v>
      </c>
      <c r="E140">
        <v>358.99</v>
      </c>
      <c r="F140">
        <v>174</v>
      </c>
      <c r="G140">
        <v>2</v>
      </c>
      <c r="H140">
        <v>3</v>
      </c>
      <c r="I140">
        <v>5</v>
      </c>
      <c r="L140">
        <f t="shared" si="20"/>
        <v>15.698</v>
      </c>
      <c r="N140">
        <f t="shared" si="21"/>
        <v>-0.18095238095238092</v>
      </c>
      <c r="O140">
        <f t="shared" si="22"/>
        <v>0.93693693693693714</v>
      </c>
      <c r="Q140">
        <f t="shared" si="23"/>
        <v>-169.06894220456087</v>
      </c>
      <c r="R140">
        <f t="shared" si="24"/>
        <v>190.93105779543913</v>
      </c>
      <c r="W140">
        <f t="shared" si="28"/>
        <v>0.115</v>
      </c>
      <c r="X140">
        <f t="shared" si="29"/>
        <v>-539.89242458982073</v>
      </c>
      <c r="Y140">
        <f t="shared" si="25"/>
        <v>180.10757541017927</v>
      </c>
      <c r="AA140">
        <f t="shared" si="26"/>
        <v>184.59525541017928</v>
      </c>
      <c r="AB140">
        <f t="shared" si="27"/>
        <v>184.59525541017928</v>
      </c>
    </row>
    <row r="141" spans="1:28" x14ac:dyDescent="0.25">
      <c r="A141">
        <v>46727</v>
      </c>
      <c r="B141">
        <v>74.38</v>
      </c>
      <c r="C141">
        <v>-12</v>
      </c>
      <c r="D141">
        <v>3.6</v>
      </c>
      <c r="E141">
        <v>358.93</v>
      </c>
      <c r="F141">
        <v>163</v>
      </c>
      <c r="G141">
        <v>2</v>
      </c>
      <c r="H141">
        <v>3</v>
      </c>
      <c r="I141">
        <v>5</v>
      </c>
      <c r="L141">
        <f t="shared" si="20"/>
        <v>15.813000000000001</v>
      </c>
      <c r="N141">
        <f t="shared" si="21"/>
        <v>-0.12380952380952376</v>
      </c>
      <c r="O141">
        <f t="shared" si="22"/>
        <v>0.90090090090090102</v>
      </c>
      <c r="Q141">
        <f t="shared" si="23"/>
        <v>-172.1749401451745</v>
      </c>
      <c r="R141">
        <f t="shared" si="24"/>
        <v>187.8250598548255</v>
      </c>
      <c r="W141">
        <f t="shared" si="28"/>
        <v>0.115</v>
      </c>
      <c r="X141">
        <f t="shared" si="29"/>
        <v>-548.44612458982078</v>
      </c>
      <c r="Y141">
        <f t="shared" si="25"/>
        <v>171.55387541017922</v>
      </c>
      <c r="AA141">
        <f t="shared" si="26"/>
        <v>184.65525541017928</v>
      </c>
      <c r="AB141">
        <f t="shared" si="27"/>
        <v>184.65525541017928</v>
      </c>
    </row>
    <row r="142" spans="1:28" x14ac:dyDescent="0.25">
      <c r="A142">
        <v>46841</v>
      </c>
      <c r="B142">
        <v>72.89</v>
      </c>
      <c r="C142">
        <v>-9.6</v>
      </c>
      <c r="D142">
        <v>3.15</v>
      </c>
      <c r="E142">
        <v>358.35</v>
      </c>
      <c r="F142">
        <v>142</v>
      </c>
      <c r="G142">
        <v>1</v>
      </c>
      <c r="H142">
        <v>3</v>
      </c>
      <c r="I142">
        <v>5</v>
      </c>
      <c r="L142">
        <f t="shared" si="20"/>
        <v>15.927</v>
      </c>
      <c r="N142">
        <f t="shared" si="21"/>
        <v>2.857142857142864E-2</v>
      </c>
      <c r="O142">
        <f t="shared" si="22"/>
        <v>0.87387387387387394</v>
      </c>
      <c r="Q142">
        <f t="shared" si="23"/>
        <v>178.12737354422859</v>
      </c>
      <c r="R142">
        <f t="shared" si="24"/>
        <v>178.12737354422859</v>
      </c>
      <c r="W142">
        <f t="shared" si="28"/>
        <v>0.114</v>
      </c>
      <c r="X142">
        <f t="shared" si="29"/>
        <v>-556.75558458982073</v>
      </c>
      <c r="Y142">
        <f t="shared" si="25"/>
        <v>163.24441541017927</v>
      </c>
      <c r="AA142">
        <f t="shared" si="26"/>
        <v>185.23525541017926</v>
      </c>
      <c r="AB142">
        <f t="shared" si="27"/>
        <v>185.23525541017926</v>
      </c>
    </row>
    <row r="143" spans="1:28" x14ac:dyDescent="0.25">
      <c r="A143">
        <v>46955</v>
      </c>
      <c r="B143">
        <v>75.44</v>
      </c>
      <c r="C143">
        <v>-8.6999999999999993</v>
      </c>
      <c r="D143">
        <v>3</v>
      </c>
      <c r="E143">
        <v>357.22</v>
      </c>
      <c r="F143">
        <v>106</v>
      </c>
      <c r="G143">
        <v>1</v>
      </c>
      <c r="H143">
        <v>3</v>
      </c>
      <c r="I143">
        <v>6</v>
      </c>
      <c r="L143">
        <f t="shared" si="20"/>
        <v>16.041</v>
      </c>
      <c r="N143">
        <f t="shared" si="21"/>
        <v>8.5714285714285798E-2</v>
      </c>
      <c r="O143">
        <f t="shared" si="22"/>
        <v>0.86486486486486491</v>
      </c>
      <c r="Q143">
        <f t="shared" si="23"/>
        <v>174.34006176886157</v>
      </c>
      <c r="R143">
        <f t="shared" si="24"/>
        <v>174.34006176886157</v>
      </c>
      <c r="W143">
        <f t="shared" si="28"/>
        <v>0.114</v>
      </c>
      <c r="X143">
        <f t="shared" si="29"/>
        <v>-565.35574458982069</v>
      </c>
      <c r="Y143">
        <f t="shared" si="25"/>
        <v>154.64425541017931</v>
      </c>
      <c r="AA143">
        <f t="shared" si="26"/>
        <v>186.36525541017926</v>
      </c>
      <c r="AB143">
        <f t="shared" si="27"/>
        <v>186.36525541017926</v>
      </c>
    </row>
    <row r="144" spans="1:28" x14ac:dyDescent="0.25">
      <c r="A144">
        <v>47068</v>
      </c>
      <c r="B144">
        <v>74.180000000000007</v>
      </c>
      <c r="C144">
        <v>-5.25</v>
      </c>
      <c r="D144">
        <v>3.6</v>
      </c>
      <c r="E144">
        <v>354.99</v>
      </c>
      <c r="F144">
        <v>61</v>
      </c>
      <c r="G144">
        <v>2</v>
      </c>
      <c r="H144">
        <v>4</v>
      </c>
      <c r="I144">
        <v>7</v>
      </c>
      <c r="L144">
        <f t="shared" si="20"/>
        <v>16.154</v>
      </c>
      <c r="N144">
        <f t="shared" si="21"/>
        <v>0.30476190476190479</v>
      </c>
      <c r="O144">
        <f t="shared" si="22"/>
        <v>0.90090090090090102</v>
      </c>
      <c r="Q144">
        <f t="shared" si="23"/>
        <v>161.31005623837299</v>
      </c>
      <c r="R144">
        <f t="shared" si="24"/>
        <v>161.31005623837299</v>
      </c>
      <c r="W144">
        <f t="shared" si="28"/>
        <v>0.113</v>
      </c>
      <c r="X144">
        <f t="shared" si="29"/>
        <v>-573.73808458982069</v>
      </c>
      <c r="Y144">
        <f t="shared" si="25"/>
        <v>146.26191541017931</v>
      </c>
      <c r="AA144">
        <f t="shared" si="26"/>
        <v>188.59525541017928</v>
      </c>
      <c r="AB144">
        <f t="shared" si="27"/>
        <v>188.59525541017928</v>
      </c>
    </row>
    <row r="145" spans="1:28" x14ac:dyDescent="0.25">
      <c r="A145">
        <v>47181</v>
      </c>
      <c r="B145">
        <v>72.72</v>
      </c>
      <c r="C145">
        <v>-4.3499999999999996</v>
      </c>
      <c r="D145">
        <v>2.25</v>
      </c>
      <c r="E145">
        <v>22.38</v>
      </c>
      <c r="F145">
        <v>23</v>
      </c>
      <c r="G145">
        <v>15</v>
      </c>
      <c r="H145">
        <v>6</v>
      </c>
      <c r="I145">
        <v>8</v>
      </c>
      <c r="L145">
        <f t="shared" si="20"/>
        <v>16.266999999999999</v>
      </c>
      <c r="N145">
        <f t="shared" si="21"/>
        <v>0.36190476190476195</v>
      </c>
      <c r="O145">
        <f t="shared" si="22"/>
        <v>0.81981981981981988</v>
      </c>
      <c r="Q145">
        <f t="shared" si="23"/>
        <v>156.18121386616085</v>
      </c>
      <c r="R145">
        <f t="shared" si="24"/>
        <v>156.18121386616085</v>
      </c>
      <c r="W145">
        <f t="shared" si="28"/>
        <v>0.113</v>
      </c>
      <c r="X145">
        <f t="shared" si="29"/>
        <v>-581.95544458982067</v>
      </c>
      <c r="Y145">
        <f t="shared" si="25"/>
        <v>138.04455541017933</v>
      </c>
      <c r="AA145">
        <f t="shared" si="26"/>
        <v>521.20525541017923</v>
      </c>
      <c r="AB145">
        <f t="shared" si="27"/>
        <v>161.20525541017923</v>
      </c>
    </row>
    <row r="146" spans="1:28" x14ac:dyDescent="0.25">
      <c r="A146">
        <v>47293</v>
      </c>
      <c r="B146">
        <v>75.37</v>
      </c>
      <c r="C146">
        <v>-1.2</v>
      </c>
      <c r="D146">
        <v>1.5</v>
      </c>
      <c r="E146">
        <v>91.06</v>
      </c>
      <c r="F146">
        <v>6</v>
      </c>
      <c r="G146">
        <v>63</v>
      </c>
      <c r="H146">
        <v>7</v>
      </c>
      <c r="I146">
        <v>9</v>
      </c>
      <c r="L146">
        <f t="shared" si="20"/>
        <v>16.379000000000001</v>
      </c>
      <c r="N146">
        <f t="shared" si="21"/>
        <v>0.56190476190476202</v>
      </c>
      <c r="O146">
        <f t="shared" si="22"/>
        <v>0.77477477477477485</v>
      </c>
      <c r="Q146">
        <f t="shared" si="23"/>
        <v>144.0485315261468</v>
      </c>
      <c r="R146">
        <f t="shared" si="24"/>
        <v>144.0485315261468</v>
      </c>
      <c r="W146">
        <f t="shared" si="28"/>
        <v>0.112</v>
      </c>
      <c r="X146">
        <f t="shared" si="29"/>
        <v>-590.39688458982073</v>
      </c>
      <c r="Y146">
        <f t="shared" si="25"/>
        <v>129.60311541017927</v>
      </c>
      <c r="AA146">
        <f t="shared" si="26"/>
        <v>452.52525541017928</v>
      </c>
      <c r="AB146">
        <f t="shared" si="27"/>
        <v>92.525255410179284</v>
      </c>
    </row>
    <row r="147" spans="1:28" x14ac:dyDescent="0.25">
      <c r="A147">
        <v>47405</v>
      </c>
      <c r="B147">
        <v>72.98</v>
      </c>
      <c r="C147">
        <v>0.75</v>
      </c>
      <c r="D147">
        <v>0.9</v>
      </c>
      <c r="E147">
        <v>90.6</v>
      </c>
      <c r="F147">
        <v>5</v>
      </c>
      <c r="G147">
        <v>103</v>
      </c>
      <c r="H147">
        <v>6</v>
      </c>
      <c r="I147">
        <v>8</v>
      </c>
      <c r="L147">
        <f t="shared" si="20"/>
        <v>16.491</v>
      </c>
      <c r="N147">
        <f t="shared" si="21"/>
        <v>0.68571428571428572</v>
      </c>
      <c r="O147">
        <f t="shared" si="22"/>
        <v>0.73873873873873885</v>
      </c>
      <c r="Q147">
        <f t="shared" si="23"/>
        <v>137.13181848541487</v>
      </c>
      <c r="R147">
        <f t="shared" si="24"/>
        <v>137.13181848541487</v>
      </c>
      <c r="W147">
        <f t="shared" si="28"/>
        <v>0.112</v>
      </c>
      <c r="X147">
        <f t="shared" si="29"/>
        <v>-598.57064458982074</v>
      </c>
      <c r="Y147">
        <f t="shared" si="25"/>
        <v>121.42935541017926</v>
      </c>
      <c r="AA147">
        <f t="shared" si="26"/>
        <v>452.98525541017926</v>
      </c>
      <c r="AB147">
        <f t="shared" si="27"/>
        <v>92.985255410179263</v>
      </c>
    </row>
    <row r="148" spans="1:28" x14ac:dyDescent="0.25">
      <c r="A148">
        <v>47516</v>
      </c>
      <c r="B148">
        <v>74.63</v>
      </c>
      <c r="C148">
        <v>1.5</v>
      </c>
      <c r="D148">
        <v>-2.25</v>
      </c>
      <c r="E148">
        <v>91.4</v>
      </c>
      <c r="F148">
        <v>3</v>
      </c>
      <c r="G148">
        <v>129</v>
      </c>
      <c r="H148">
        <v>6</v>
      </c>
      <c r="I148">
        <v>6</v>
      </c>
      <c r="L148">
        <f t="shared" si="20"/>
        <v>16.602</v>
      </c>
      <c r="N148">
        <f t="shared" si="21"/>
        <v>0.73333333333333339</v>
      </c>
      <c r="O148">
        <f t="shared" si="22"/>
        <v>0.5495495495495496</v>
      </c>
      <c r="Q148">
        <f t="shared" si="23"/>
        <v>126.84736686465652</v>
      </c>
      <c r="R148">
        <f t="shared" si="24"/>
        <v>126.84736686465652</v>
      </c>
      <c r="W148">
        <f t="shared" si="28"/>
        <v>0.111</v>
      </c>
      <c r="X148">
        <f t="shared" si="29"/>
        <v>-606.8545745898208</v>
      </c>
      <c r="Y148">
        <f t="shared" si="25"/>
        <v>113.1454254101792</v>
      </c>
      <c r="AA148">
        <f t="shared" si="26"/>
        <v>452.18525541017931</v>
      </c>
      <c r="AB148">
        <f t="shared" si="27"/>
        <v>92.185255410179309</v>
      </c>
    </row>
    <row r="149" spans="1:28" x14ac:dyDescent="0.25">
      <c r="A149">
        <v>47629</v>
      </c>
      <c r="B149">
        <v>73.66</v>
      </c>
      <c r="C149">
        <v>3.45</v>
      </c>
      <c r="D149">
        <v>-4.6500000000000004</v>
      </c>
      <c r="E149">
        <v>90.82</v>
      </c>
      <c r="F149">
        <v>2</v>
      </c>
      <c r="G149">
        <v>143</v>
      </c>
      <c r="H149">
        <v>4</v>
      </c>
      <c r="I149">
        <v>4</v>
      </c>
      <c r="L149">
        <f t="shared" si="20"/>
        <v>16.715</v>
      </c>
      <c r="N149">
        <f t="shared" si="21"/>
        <v>0.8571428571428571</v>
      </c>
      <c r="O149">
        <f t="shared" si="22"/>
        <v>0.40540540540540543</v>
      </c>
      <c r="Q149">
        <f t="shared" si="23"/>
        <v>115.31288380187415</v>
      </c>
      <c r="R149">
        <f t="shared" si="24"/>
        <v>115.31288380187415</v>
      </c>
      <c r="W149">
        <f t="shared" si="28"/>
        <v>0.113</v>
      </c>
      <c r="X149">
        <f t="shared" si="29"/>
        <v>-615.17815458982079</v>
      </c>
      <c r="Y149">
        <f t="shared" si="25"/>
        <v>104.82184541017921</v>
      </c>
      <c r="AA149">
        <f t="shared" si="26"/>
        <v>452.76525541017929</v>
      </c>
      <c r="AB149">
        <f t="shared" si="27"/>
        <v>92.765255410179293</v>
      </c>
    </row>
    <row r="150" spans="1:28" x14ac:dyDescent="0.25">
      <c r="A150">
        <v>47741</v>
      </c>
      <c r="B150">
        <v>75.09</v>
      </c>
      <c r="C150">
        <v>2.85</v>
      </c>
      <c r="D150">
        <v>-6.45</v>
      </c>
      <c r="E150">
        <v>90.44</v>
      </c>
      <c r="F150">
        <v>3</v>
      </c>
      <c r="G150">
        <v>135</v>
      </c>
      <c r="H150">
        <v>4</v>
      </c>
      <c r="I150">
        <v>4</v>
      </c>
      <c r="L150">
        <f t="shared" si="20"/>
        <v>16.827000000000002</v>
      </c>
      <c r="N150">
        <f t="shared" si="21"/>
        <v>0.81904761904761902</v>
      </c>
      <c r="O150">
        <f t="shared" si="22"/>
        <v>0.29729729729729731</v>
      </c>
      <c r="Q150">
        <f t="shared" si="23"/>
        <v>109.94984715132848</v>
      </c>
      <c r="R150">
        <f t="shared" si="24"/>
        <v>109.94984715132848</v>
      </c>
      <c r="W150">
        <f t="shared" si="28"/>
        <v>0.112</v>
      </c>
      <c r="X150">
        <f t="shared" si="29"/>
        <v>-623.58823458982079</v>
      </c>
      <c r="Y150">
        <f t="shared" si="25"/>
        <v>96.411765410179214</v>
      </c>
      <c r="AA150">
        <f t="shared" si="26"/>
        <v>453.14525541017929</v>
      </c>
      <c r="AB150">
        <f t="shared" si="27"/>
        <v>93.145255410179288</v>
      </c>
    </row>
    <row r="151" spans="1:28" x14ac:dyDescent="0.25">
      <c r="A151">
        <v>47854</v>
      </c>
      <c r="B151">
        <v>76.47</v>
      </c>
      <c r="C151">
        <v>4.95</v>
      </c>
      <c r="D151">
        <v>-7.95</v>
      </c>
      <c r="E151">
        <v>90</v>
      </c>
      <c r="F151">
        <v>4</v>
      </c>
      <c r="G151">
        <v>117</v>
      </c>
      <c r="H151">
        <v>4</v>
      </c>
      <c r="I151">
        <v>4</v>
      </c>
      <c r="L151">
        <f t="shared" si="20"/>
        <v>16.940000000000001</v>
      </c>
      <c r="N151">
        <f t="shared" si="21"/>
        <v>0.95238095238095233</v>
      </c>
      <c r="O151">
        <f t="shared" si="22"/>
        <v>0.20720720720720723</v>
      </c>
      <c r="Q151">
        <f t="shared" si="23"/>
        <v>102.27441677624675</v>
      </c>
      <c r="R151">
        <f t="shared" si="24"/>
        <v>102.27441677624675</v>
      </c>
      <c r="W151">
        <f t="shared" si="28"/>
        <v>0.113</v>
      </c>
      <c r="X151">
        <f t="shared" si="29"/>
        <v>-632.22934458982081</v>
      </c>
      <c r="Y151">
        <f t="shared" si="25"/>
        <v>87.770655410179188</v>
      </c>
      <c r="AA151">
        <f t="shared" si="26"/>
        <v>453.58525541017929</v>
      </c>
      <c r="AB151">
        <f t="shared" si="27"/>
        <v>93.585255410179286</v>
      </c>
    </row>
    <row r="152" spans="1:28" x14ac:dyDescent="0.25">
      <c r="A152">
        <v>47966</v>
      </c>
      <c r="B152">
        <v>72.599999999999994</v>
      </c>
      <c r="C152">
        <v>3.45</v>
      </c>
      <c r="D152">
        <v>-9.75</v>
      </c>
      <c r="E152">
        <v>89.38</v>
      </c>
      <c r="F152">
        <v>5</v>
      </c>
      <c r="G152">
        <v>96</v>
      </c>
      <c r="H152">
        <v>4</v>
      </c>
      <c r="I152">
        <v>3</v>
      </c>
      <c r="L152">
        <f t="shared" si="20"/>
        <v>17.052</v>
      </c>
      <c r="N152">
        <f t="shared" si="21"/>
        <v>0.8571428571428571</v>
      </c>
      <c r="O152">
        <f t="shared" si="22"/>
        <v>9.9099099099099128E-2</v>
      </c>
      <c r="Q152">
        <f t="shared" si="23"/>
        <v>96.59500575474388</v>
      </c>
      <c r="R152">
        <f t="shared" si="24"/>
        <v>96.59500575474388</v>
      </c>
      <c r="W152">
        <f t="shared" si="28"/>
        <v>0.112</v>
      </c>
      <c r="X152">
        <f t="shared" si="29"/>
        <v>-640.36054458982085</v>
      </c>
      <c r="Y152">
        <f t="shared" si="25"/>
        <v>79.639455410179153</v>
      </c>
      <c r="AA152">
        <f t="shared" si="26"/>
        <v>454.20525541017929</v>
      </c>
      <c r="AB152">
        <f t="shared" si="27"/>
        <v>94.205255410179291</v>
      </c>
    </row>
    <row r="153" spans="1:28" x14ac:dyDescent="0.25">
      <c r="A153">
        <v>48078</v>
      </c>
      <c r="B153">
        <v>73.349999999999994</v>
      </c>
      <c r="C153">
        <v>4.3499999999999996</v>
      </c>
      <c r="D153">
        <v>-12.9</v>
      </c>
      <c r="E153">
        <v>88.06</v>
      </c>
      <c r="F153">
        <v>6</v>
      </c>
      <c r="G153">
        <v>62</v>
      </c>
      <c r="H153">
        <v>4</v>
      </c>
      <c r="I153">
        <v>3</v>
      </c>
      <c r="L153">
        <f t="shared" si="20"/>
        <v>17.164000000000001</v>
      </c>
      <c r="N153">
        <f t="shared" si="21"/>
        <v>0.91428571428571426</v>
      </c>
      <c r="O153">
        <f t="shared" si="22"/>
        <v>-9.00900900900901E-2</v>
      </c>
      <c r="Q153">
        <f t="shared" si="23"/>
        <v>84.372467315457058</v>
      </c>
      <c r="R153">
        <f t="shared" si="24"/>
        <v>84.372467315457058</v>
      </c>
      <c r="W153">
        <f t="shared" si="28"/>
        <v>0.112</v>
      </c>
      <c r="X153">
        <f t="shared" si="29"/>
        <v>-648.57574458982083</v>
      </c>
      <c r="Y153">
        <f t="shared" si="25"/>
        <v>71.424255410179171</v>
      </c>
      <c r="AA153">
        <f t="shared" si="26"/>
        <v>455.52525541017928</v>
      </c>
      <c r="AB153">
        <f t="shared" si="27"/>
        <v>95.525255410179284</v>
      </c>
    </row>
    <row r="154" spans="1:28" x14ac:dyDescent="0.25">
      <c r="A154">
        <v>48190</v>
      </c>
      <c r="B154">
        <v>74.59</v>
      </c>
      <c r="C154">
        <v>5.0999999999999996</v>
      </c>
      <c r="D154">
        <v>-13.95</v>
      </c>
      <c r="E154">
        <v>90</v>
      </c>
      <c r="F154">
        <v>7</v>
      </c>
      <c r="G154">
        <v>54</v>
      </c>
      <c r="H154">
        <v>7</v>
      </c>
      <c r="I154">
        <v>4</v>
      </c>
      <c r="L154">
        <f t="shared" si="20"/>
        <v>17.276</v>
      </c>
      <c r="N154">
        <f t="shared" si="21"/>
        <v>0.96190476190476193</v>
      </c>
      <c r="O154">
        <f t="shared" si="22"/>
        <v>-0.15315315315315312</v>
      </c>
      <c r="Q154">
        <f t="shared" si="23"/>
        <v>80.953380415381417</v>
      </c>
      <c r="R154">
        <f t="shared" si="24"/>
        <v>80.953380415381417</v>
      </c>
      <c r="W154">
        <f t="shared" si="28"/>
        <v>0.112</v>
      </c>
      <c r="X154">
        <f t="shared" si="29"/>
        <v>-656.92982458982078</v>
      </c>
      <c r="Y154">
        <f t="shared" si="25"/>
        <v>63.070175410179218</v>
      </c>
      <c r="AA154">
        <f t="shared" si="26"/>
        <v>453.58525541017929</v>
      </c>
      <c r="AB154">
        <f t="shared" si="27"/>
        <v>93.585255410179286</v>
      </c>
    </row>
    <row r="155" spans="1:28" x14ac:dyDescent="0.25">
      <c r="A155">
        <v>48303</v>
      </c>
      <c r="B155">
        <v>76.47</v>
      </c>
      <c r="C155">
        <v>3.6</v>
      </c>
      <c r="D155">
        <v>-16.2</v>
      </c>
      <c r="E155">
        <v>130.24</v>
      </c>
      <c r="F155">
        <v>7</v>
      </c>
      <c r="G155">
        <v>30</v>
      </c>
      <c r="H155">
        <v>29</v>
      </c>
      <c r="I155">
        <v>4</v>
      </c>
      <c r="L155">
        <f t="shared" si="20"/>
        <v>17.388999999999999</v>
      </c>
      <c r="N155">
        <f t="shared" si="21"/>
        <v>0.8666666666666667</v>
      </c>
      <c r="O155">
        <f t="shared" si="22"/>
        <v>-0.28828828828828823</v>
      </c>
      <c r="Q155">
        <f t="shared" si="23"/>
        <v>71.600794016803889</v>
      </c>
      <c r="R155">
        <f t="shared" si="24"/>
        <v>71.600794016803889</v>
      </c>
      <c r="W155">
        <f t="shared" si="28"/>
        <v>0.113</v>
      </c>
      <c r="X155">
        <f t="shared" si="29"/>
        <v>-665.57093458982081</v>
      </c>
      <c r="Y155">
        <f t="shared" si="25"/>
        <v>54.429065410179192</v>
      </c>
      <c r="AA155">
        <f t="shared" si="26"/>
        <v>413.34525541017928</v>
      </c>
      <c r="AB155">
        <f t="shared" si="27"/>
        <v>53.345255410179277</v>
      </c>
    </row>
    <row r="156" spans="1:28" x14ac:dyDescent="0.25">
      <c r="A156">
        <v>48417</v>
      </c>
      <c r="B156">
        <v>74.48</v>
      </c>
      <c r="C156">
        <v>2.85</v>
      </c>
      <c r="D156">
        <v>-17.100000000000001</v>
      </c>
      <c r="E156">
        <v>173.77</v>
      </c>
      <c r="F156">
        <v>7</v>
      </c>
      <c r="G156">
        <v>9</v>
      </c>
      <c r="H156">
        <v>62</v>
      </c>
      <c r="I156">
        <v>3</v>
      </c>
      <c r="L156">
        <f t="shared" si="20"/>
        <v>17.503</v>
      </c>
      <c r="N156">
        <f t="shared" si="21"/>
        <v>0.81904761904761902</v>
      </c>
      <c r="O156">
        <f t="shared" si="22"/>
        <v>-0.34234234234234245</v>
      </c>
      <c r="Q156">
        <f t="shared" si="23"/>
        <v>67.316237389739314</v>
      </c>
      <c r="R156">
        <f t="shared" si="24"/>
        <v>67.316237389739314</v>
      </c>
      <c r="W156">
        <f t="shared" si="28"/>
        <v>0.114</v>
      </c>
      <c r="X156">
        <f t="shared" si="29"/>
        <v>-674.06165458982082</v>
      </c>
      <c r="Y156">
        <f t="shared" si="25"/>
        <v>45.938345410179181</v>
      </c>
      <c r="AA156">
        <f t="shared" si="26"/>
        <v>369.81525541017925</v>
      </c>
      <c r="AB156">
        <f t="shared" si="27"/>
        <v>9.8152554101792475</v>
      </c>
    </row>
    <row r="157" spans="1:28" x14ac:dyDescent="0.25">
      <c r="A157">
        <v>48531</v>
      </c>
      <c r="B157">
        <v>72.13</v>
      </c>
      <c r="C157">
        <v>2.85</v>
      </c>
      <c r="D157">
        <v>-19.649999999999999</v>
      </c>
      <c r="E157">
        <v>180</v>
      </c>
      <c r="F157">
        <v>6</v>
      </c>
      <c r="G157">
        <v>3</v>
      </c>
      <c r="H157">
        <v>93</v>
      </c>
      <c r="I157">
        <v>3</v>
      </c>
      <c r="L157">
        <f t="shared" si="20"/>
        <v>17.617000000000001</v>
      </c>
      <c r="N157">
        <f t="shared" si="21"/>
        <v>0.81904761904761902</v>
      </c>
      <c r="O157">
        <f t="shared" si="22"/>
        <v>-0.49549549549549543</v>
      </c>
      <c r="Q157">
        <f t="shared" si="23"/>
        <v>58.827511784408145</v>
      </c>
      <c r="R157">
        <f t="shared" si="24"/>
        <v>58.827511784408145</v>
      </c>
      <c r="W157">
        <f t="shared" si="28"/>
        <v>0.114</v>
      </c>
      <c r="X157">
        <f t="shared" si="29"/>
        <v>-682.28447458982077</v>
      </c>
      <c r="Y157">
        <f t="shared" si="25"/>
        <v>37.715525410179225</v>
      </c>
      <c r="AA157">
        <f t="shared" si="26"/>
        <v>363.58525541017929</v>
      </c>
      <c r="AB157">
        <f t="shared" si="27"/>
        <v>3.5852554101792862</v>
      </c>
    </row>
    <row r="158" spans="1:28" x14ac:dyDescent="0.25">
      <c r="A158">
        <v>48644</v>
      </c>
      <c r="B158">
        <v>74.58</v>
      </c>
      <c r="C158">
        <v>0.75</v>
      </c>
      <c r="D158">
        <v>-21.75</v>
      </c>
      <c r="E158">
        <v>180</v>
      </c>
      <c r="F158">
        <v>6</v>
      </c>
      <c r="G158">
        <v>2</v>
      </c>
      <c r="H158">
        <v>113</v>
      </c>
      <c r="I158">
        <v>2</v>
      </c>
      <c r="L158">
        <f t="shared" si="20"/>
        <v>17.73</v>
      </c>
      <c r="N158">
        <f t="shared" si="21"/>
        <v>0.68571428571428572</v>
      </c>
      <c r="O158">
        <f t="shared" si="22"/>
        <v>-0.6216216216216216</v>
      </c>
      <c r="Q158">
        <f t="shared" si="23"/>
        <v>47.806701248024631</v>
      </c>
      <c r="R158">
        <f t="shared" si="24"/>
        <v>47.806701248024631</v>
      </c>
      <c r="W158">
        <f t="shared" si="28"/>
        <v>0.113</v>
      </c>
      <c r="X158">
        <f t="shared" si="29"/>
        <v>-690.7120145898208</v>
      </c>
      <c r="Y158">
        <f t="shared" si="25"/>
        <v>29.287985410179203</v>
      </c>
      <c r="AA158">
        <f t="shared" si="26"/>
        <v>363.58525541017929</v>
      </c>
      <c r="AB158">
        <f t="shared" si="27"/>
        <v>3.5852554101792862</v>
      </c>
    </row>
    <row r="159" spans="1:28" x14ac:dyDescent="0.25">
      <c r="A159">
        <v>48759</v>
      </c>
      <c r="B159">
        <v>73.53</v>
      </c>
      <c r="C159">
        <v>0.15</v>
      </c>
      <c r="D159">
        <v>-22.35</v>
      </c>
      <c r="E159">
        <v>180</v>
      </c>
      <c r="F159">
        <v>5</v>
      </c>
      <c r="G159">
        <v>2</v>
      </c>
      <c r="H159">
        <v>125</v>
      </c>
      <c r="I159">
        <v>2</v>
      </c>
      <c r="L159">
        <f t="shared" si="20"/>
        <v>17.844999999999999</v>
      </c>
      <c r="N159">
        <f t="shared" si="21"/>
        <v>0.64761904761904765</v>
      </c>
      <c r="O159">
        <f t="shared" si="22"/>
        <v>-0.65765765765765782</v>
      </c>
      <c r="Q159">
        <f t="shared" si="23"/>
        <v>44.559358835283369</v>
      </c>
      <c r="R159">
        <f t="shared" si="24"/>
        <v>44.559358835283369</v>
      </c>
      <c r="W159">
        <f t="shared" si="28"/>
        <v>0.115</v>
      </c>
      <c r="X159">
        <f t="shared" si="29"/>
        <v>-699.16796458982083</v>
      </c>
      <c r="Y159">
        <f t="shared" si="25"/>
        <v>20.832035410179174</v>
      </c>
      <c r="AA159">
        <f t="shared" si="26"/>
        <v>363.58525541017929</v>
      </c>
      <c r="AB159">
        <f t="shared" si="27"/>
        <v>3.5852554101792862</v>
      </c>
    </row>
    <row r="160" spans="1:28" x14ac:dyDescent="0.25">
      <c r="A160">
        <v>48874</v>
      </c>
      <c r="B160">
        <v>74.3</v>
      </c>
      <c r="C160">
        <v>-1.5</v>
      </c>
      <c r="D160">
        <v>-25.65</v>
      </c>
      <c r="E160">
        <v>179.07</v>
      </c>
      <c r="F160">
        <v>4</v>
      </c>
      <c r="G160">
        <v>3</v>
      </c>
      <c r="H160">
        <v>127</v>
      </c>
      <c r="I160">
        <v>1</v>
      </c>
      <c r="L160">
        <f t="shared" si="20"/>
        <v>17.96</v>
      </c>
      <c r="N160">
        <f t="shared" si="21"/>
        <v>0.54285714285714293</v>
      </c>
      <c r="O160">
        <f t="shared" si="22"/>
        <v>-0.85585585585585577</v>
      </c>
      <c r="Q160">
        <f t="shared" si="23"/>
        <v>32.386372545981267</v>
      </c>
      <c r="R160">
        <f t="shared" si="24"/>
        <v>32.386372545981267</v>
      </c>
      <c r="W160">
        <f t="shared" si="28"/>
        <v>0.115</v>
      </c>
      <c r="X160">
        <f t="shared" si="29"/>
        <v>-707.7124645898208</v>
      </c>
      <c r="Y160">
        <f t="shared" si="25"/>
        <v>12.287535410179203</v>
      </c>
      <c r="AA160">
        <f t="shared" si="26"/>
        <v>364.51525541017929</v>
      </c>
      <c r="AB160">
        <f t="shared" si="27"/>
        <v>4.515255410179293</v>
      </c>
    </row>
    <row r="161" spans="1:28" x14ac:dyDescent="0.25">
      <c r="A161">
        <v>48989</v>
      </c>
      <c r="B161">
        <v>74.849999999999994</v>
      </c>
      <c r="C161">
        <v>-4.05</v>
      </c>
      <c r="D161">
        <v>-25.65</v>
      </c>
      <c r="E161">
        <v>178.98</v>
      </c>
      <c r="F161">
        <v>3</v>
      </c>
      <c r="G161">
        <v>4</v>
      </c>
      <c r="H161">
        <v>115</v>
      </c>
      <c r="I161">
        <v>2</v>
      </c>
      <c r="L161">
        <f t="shared" si="20"/>
        <v>18.074999999999999</v>
      </c>
      <c r="N161">
        <f t="shared" si="21"/>
        <v>0.38095238095238099</v>
      </c>
      <c r="O161">
        <f t="shared" si="22"/>
        <v>-0.85585585585585577</v>
      </c>
      <c r="Q161">
        <f t="shared" si="23"/>
        <v>23.994457602597365</v>
      </c>
      <c r="R161">
        <f t="shared" si="24"/>
        <v>23.994457602597365</v>
      </c>
      <c r="W161">
        <f t="shared" si="28"/>
        <v>0.115</v>
      </c>
      <c r="X161">
        <f t="shared" si="29"/>
        <v>-716.32021458982081</v>
      </c>
      <c r="Y161">
        <f t="shared" si="25"/>
        <v>3.6797854101791927</v>
      </c>
      <c r="AA161">
        <f t="shared" si="26"/>
        <v>364.60525541017932</v>
      </c>
      <c r="AB161">
        <f t="shared" si="27"/>
        <v>4.6052554101793248</v>
      </c>
    </row>
    <row r="162" spans="1:28" x14ac:dyDescent="0.25">
      <c r="A162">
        <v>49105</v>
      </c>
      <c r="B162">
        <v>73.599999999999994</v>
      </c>
      <c r="C162">
        <v>-6.45</v>
      </c>
      <c r="D162">
        <v>-26.85</v>
      </c>
      <c r="E162">
        <v>71.569999999999993</v>
      </c>
      <c r="F162">
        <v>3</v>
      </c>
      <c r="G162">
        <v>4</v>
      </c>
      <c r="H162">
        <v>2</v>
      </c>
      <c r="I162">
        <v>1</v>
      </c>
      <c r="L162">
        <f t="shared" si="20"/>
        <v>18.190999999999999</v>
      </c>
      <c r="N162">
        <f t="shared" si="21"/>
        <v>0.22857142857142859</v>
      </c>
      <c r="O162">
        <f t="shared" si="22"/>
        <v>-0.92792792792792811</v>
      </c>
      <c r="Q162">
        <f t="shared" si="23"/>
        <v>13.837872408309712</v>
      </c>
      <c r="R162">
        <f t="shared" si="24"/>
        <v>13.837872408309712</v>
      </c>
      <c r="W162">
        <f t="shared" si="28"/>
        <v>0.11600000000000001</v>
      </c>
      <c r="X162">
        <f t="shared" si="29"/>
        <v>-724.8578145898208</v>
      </c>
      <c r="Y162">
        <f t="shared" si="25"/>
        <v>355.1421854101792</v>
      </c>
      <c r="AA162">
        <f t="shared" si="26"/>
        <v>472.01525541017929</v>
      </c>
      <c r="AB162">
        <f t="shared" si="27"/>
        <v>112.01525541017929</v>
      </c>
    </row>
    <row r="163" spans="1:28" x14ac:dyDescent="0.25">
      <c r="A163">
        <v>49217</v>
      </c>
      <c r="B163">
        <v>74.400000000000006</v>
      </c>
      <c r="C163">
        <v>-6.9</v>
      </c>
      <c r="D163">
        <v>-26.1</v>
      </c>
      <c r="E163">
        <v>176.03</v>
      </c>
      <c r="F163">
        <v>3</v>
      </c>
      <c r="G163">
        <v>6</v>
      </c>
      <c r="H163">
        <v>75</v>
      </c>
      <c r="I163">
        <v>1</v>
      </c>
      <c r="L163">
        <f t="shared" si="20"/>
        <v>18.303000000000001</v>
      </c>
      <c r="N163">
        <f t="shared" si="21"/>
        <v>0.2</v>
      </c>
      <c r="O163">
        <f t="shared" si="22"/>
        <v>-0.88288288288288297</v>
      </c>
      <c r="Q163">
        <f t="shared" si="23"/>
        <v>12.763827939129094</v>
      </c>
      <c r="R163">
        <f t="shared" si="24"/>
        <v>12.763827939129094</v>
      </c>
      <c r="W163">
        <f t="shared" si="28"/>
        <v>0.112</v>
      </c>
      <c r="X163">
        <f t="shared" si="29"/>
        <v>-733.19061458982083</v>
      </c>
      <c r="Y163">
        <f t="shared" si="25"/>
        <v>346.80938541017917</v>
      </c>
      <c r="AA163">
        <f t="shared" si="26"/>
        <v>367.55525541017926</v>
      </c>
      <c r="AB163">
        <f t="shared" si="27"/>
        <v>7.5552554101792566</v>
      </c>
    </row>
    <row r="164" spans="1:28" x14ac:dyDescent="0.25">
      <c r="A164">
        <v>49332</v>
      </c>
      <c r="B164">
        <v>70.069999999999993</v>
      </c>
      <c r="C164">
        <v>-9</v>
      </c>
      <c r="D164">
        <v>-26.4</v>
      </c>
      <c r="E164">
        <v>174.4</v>
      </c>
      <c r="F164">
        <v>2</v>
      </c>
      <c r="G164">
        <v>7</v>
      </c>
      <c r="H164">
        <v>53</v>
      </c>
      <c r="I164">
        <v>2</v>
      </c>
      <c r="L164">
        <f t="shared" si="20"/>
        <v>18.417999999999999</v>
      </c>
      <c r="N164">
        <f t="shared" si="21"/>
        <v>6.6666666666666707E-2</v>
      </c>
      <c r="O164">
        <f t="shared" si="22"/>
        <v>-0.90090090090090091</v>
      </c>
      <c r="Q164">
        <f t="shared" si="23"/>
        <v>4.2321738045539492</v>
      </c>
      <c r="R164">
        <f t="shared" si="24"/>
        <v>4.2321738045539492</v>
      </c>
      <c r="W164">
        <f t="shared" si="28"/>
        <v>0.115</v>
      </c>
      <c r="X164">
        <f t="shared" si="29"/>
        <v>-741.24866458982081</v>
      </c>
      <c r="Y164">
        <f t="shared" si="25"/>
        <v>338.75133541017919</v>
      </c>
      <c r="AA164">
        <f t="shared" si="26"/>
        <v>369.18525541017925</v>
      </c>
      <c r="AB164">
        <f t="shared" si="27"/>
        <v>9.1852554101792521</v>
      </c>
    </row>
    <row r="165" spans="1:28" x14ac:dyDescent="0.25">
      <c r="A165">
        <v>49446</v>
      </c>
      <c r="B165">
        <v>71.760000000000005</v>
      </c>
      <c r="C165">
        <v>-12.15</v>
      </c>
      <c r="D165">
        <v>-26.1</v>
      </c>
      <c r="E165">
        <v>171.12</v>
      </c>
      <c r="F165">
        <v>2</v>
      </c>
      <c r="G165">
        <v>8</v>
      </c>
      <c r="H165">
        <v>34</v>
      </c>
      <c r="I165">
        <v>3</v>
      </c>
      <c r="L165">
        <f t="shared" si="20"/>
        <v>18.532</v>
      </c>
      <c r="N165">
        <f t="shared" si="21"/>
        <v>-0.1333333333333333</v>
      </c>
      <c r="O165">
        <f t="shared" si="22"/>
        <v>-0.88288288288288297</v>
      </c>
      <c r="Q165">
        <f t="shared" si="23"/>
        <v>-8.5879355964760276</v>
      </c>
      <c r="R165">
        <f t="shared" si="24"/>
        <v>351.41206440352397</v>
      </c>
      <c r="W165">
        <f t="shared" si="28"/>
        <v>0.114</v>
      </c>
      <c r="X165">
        <f t="shared" si="29"/>
        <v>-749.42930458982084</v>
      </c>
      <c r="Y165">
        <f t="shared" si="25"/>
        <v>330.57069541017916</v>
      </c>
      <c r="AA165">
        <f t="shared" si="26"/>
        <v>372.46525541017928</v>
      </c>
      <c r="AB165">
        <f t="shared" si="27"/>
        <v>12.465255410179282</v>
      </c>
    </row>
    <row r="166" spans="1:28" x14ac:dyDescent="0.25">
      <c r="A166">
        <v>49562</v>
      </c>
      <c r="B166">
        <v>74.81</v>
      </c>
      <c r="C166">
        <v>-13.05</v>
      </c>
      <c r="D166">
        <v>-28.05</v>
      </c>
      <c r="E166">
        <v>198.43</v>
      </c>
      <c r="F166">
        <v>2</v>
      </c>
      <c r="G166">
        <v>8</v>
      </c>
      <c r="H166">
        <v>17</v>
      </c>
      <c r="I166">
        <v>13</v>
      </c>
      <c r="L166">
        <f t="shared" si="20"/>
        <v>18.648</v>
      </c>
      <c r="N166">
        <f t="shared" si="21"/>
        <v>-0.19047619047619047</v>
      </c>
      <c r="O166">
        <f t="shared" si="22"/>
        <v>-1</v>
      </c>
      <c r="Q166">
        <f t="shared" si="23"/>
        <v>-10.784297867562598</v>
      </c>
      <c r="R166">
        <f t="shared" si="24"/>
        <v>349.2157021324374</v>
      </c>
      <c r="W166">
        <f t="shared" si="28"/>
        <v>0.11600000000000001</v>
      </c>
      <c r="X166">
        <f t="shared" si="29"/>
        <v>-758.10726458982083</v>
      </c>
      <c r="Y166">
        <f t="shared" si="25"/>
        <v>321.89273541017917</v>
      </c>
      <c r="AA166">
        <f t="shared" si="26"/>
        <v>345.15525541017928</v>
      </c>
      <c r="AB166">
        <f t="shared" si="27"/>
        <v>345.15525541017928</v>
      </c>
    </row>
    <row r="167" spans="1:28" x14ac:dyDescent="0.25">
      <c r="A167">
        <v>49679</v>
      </c>
      <c r="B167">
        <v>74.84</v>
      </c>
      <c r="C167">
        <v>-15</v>
      </c>
      <c r="D167">
        <v>-26.1</v>
      </c>
      <c r="E167">
        <v>260.91000000000003</v>
      </c>
      <c r="F167">
        <v>2</v>
      </c>
      <c r="G167">
        <v>7</v>
      </c>
      <c r="H167">
        <v>6</v>
      </c>
      <c r="I167">
        <v>32</v>
      </c>
      <c r="L167">
        <f t="shared" si="20"/>
        <v>18.765000000000001</v>
      </c>
      <c r="N167">
        <f t="shared" si="21"/>
        <v>-0.31428571428571422</v>
      </c>
      <c r="O167">
        <f t="shared" si="22"/>
        <v>-0.88288288288288297</v>
      </c>
      <c r="Q167">
        <f t="shared" si="23"/>
        <v>-19.594543457446786</v>
      </c>
      <c r="R167">
        <f t="shared" si="24"/>
        <v>340.40545654255322</v>
      </c>
      <c r="W167">
        <f t="shared" si="28"/>
        <v>0.11700000000000001</v>
      </c>
      <c r="X167">
        <f t="shared" si="29"/>
        <v>-766.86354458982078</v>
      </c>
      <c r="Y167">
        <f t="shared" si="25"/>
        <v>313.13645541017922</v>
      </c>
      <c r="AA167">
        <f t="shared" si="26"/>
        <v>282.67525541017926</v>
      </c>
      <c r="AB167">
        <f t="shared" si="27"/>
        <v>282.67525541017926</v>
      </c>
    </row>
    <row r="168" spans="1:28" x14ac:dyDescent="0.25">
      <c r="A168">
        <v>49794</v>
      </c>
      <c r="B168">
        <v>73.61</v>
      </c>
      <c r="C168">
        <v>-17.399999999999999</v>
      </c>
      <c r="D168">
        <v>-24.45</v>
      </c>
      <c r="E168">
        <v>267.45999999999998</v>
      </c>
      <c r="F168">
        <v>2</v>
      </c>
      <c r="G168">
        <v>6</v>
      </c>
      <c r="H168">
        <v>4</v>
      </c>
      <c r="I168">
        <v>51</v>
      </c>
      <c r="L168">
        <f t="shared" si="20"/>
        <v>18.88</v>
      </c>
      <c r="N168">
        <f t="shared" si="21"/>
        <v>-0.46666666666666651</v>
      </c>
      <c r="O168">
        <f t="shared" si="22"/>
        <v>-0.78378378378378377</v>
      </c>
      <c r="Q168">
        <f t="shared" si="23"/>
        <v>-30.769665880478435</v>
      </c>
      <c r="R168">
        <f t="shared" si="24"/>
        <v>329.23033411952156</v>
      </c>
      <c r="W168">
        <f t="shared" si="28"/>
        <v>0.115</v>
      </c>
      <c r="X168">
        <f t="shared" si="29"/>
        <v>-775.32869458982077</v>
      </c>
      <c r="Y168">
        <f t="shared" si="25"/>
        <v>304.67130541017923</v>
      </c>
      <c r="AA168">
        <f t="shared" si="26"/>
        <v>276.12525541017931</v>
      </c>
      <c r="AB168">
        <f t="shared" si="27"/>
        <v>276.12525541017931</v>
      </c>
    </row>
    <row r="169" spans="1:28" x14ac:dyDescent="0.25">
      <c r="A169">
        <v>49910</v>
      </c>
      <c r="B169">
        <v>75.790000000000006</v>
      </c>
      <c r="C169">
        <v>-18.600000000000001</v>
      </c>
      <c r="D169">
        <v>-23.1</v>
      </c>
      <c r="E169">
        <v>268.14999999999998</v>
      </c>
      <c r="F169">
        <v>2</v>
      </c>
      <c r="G169">
        <v>5</v>
      </c>
      <c r="H169">
        <v>4</v>
      </c>
      <c r="I169">
        <v>67</v>
      </c>
      <c r="L169">
        <f t="shared" si="20"/>
        <v>18.995999999999999</v>
      </c>
      <c r="N169">
        <f t="shared" si="21"/>
        <v>-0.54285714285714293</v>
      </c>
      <c r="O169">
        <f t="shared" si="22"/>
        <v>-0.70270270270270285</v>
      </c>
      <c r="Q169">
        <f t="shared" si="23"/>
        <v>-37.687071997862532</v>
      </c>
      <c r="R169">
        <f t="shared" si="24"/>
        <v>322.31292800213748</v>
      </c>
      <c r="W169">
        <f t="shared" si="28"/>
        <v>0.11600000000000001</v>
      </c>
      <c r="X169">
        <f t="shared" si="29"/>
        <v>-784.1203345898208</v>
      </c>
      <c r="Y169">
        <f t="shared" si="25"/>
        <v>295.8796654101792</v>
      </c>
      <c r="AA169">
        <f t="shared" si="26"/>
        <v>275.43525541017931</v>
      </c>
      <c r="AB169">
        <f t="shared" si="27"/>
        <v>275.43525541017931</v>
      </c>
    </row>
    <row r="170" spans="1:28" x14ac:dyDescent="0.25">
      <c r="A170">
        <v>50026</v>
      </c>
      <c r="B170">
        <v>72.47</v>
      </c>
      <c r="C170">
        <v>-20.7</v>
      </c>
      <c r="D170">
        <v>-22.35</v>
      </c>
      <c r="E170">
        <v>268.36</v>
      </c>
      <c r="F170">
        <v>2</v>
      </c>
      <c r="G170">
        <v>4</v>
      </c>
      <c r="H170">
        <v>4</v>
      </c>
      <c r="I170">
        <v>74</v>
      </c>
      <c r="L170">
        <f t="shared" si="20"/>
        <v>19.111999999999998</v>
      </c>
      <c r="N170">
        <f t="shared" si="21"/>
        <v>-0.67619047619047612</v>
      </c>
      <c r="O170">
        <f t="shared" si="22"/>
        <v>-0.65765765765765782</v>
      </c>
      <c r="Q170">
        <f t="shared" si="23"/>
        <v>-45.796030623823746</v>
      </c>
      <c r="R170">
        <f t="shared" si="24"/>
        <v>314.20396937617625</v>
      </c>
      <c r="W170">
        <f t="shared" si="28"/>
        <v>0.11600000000000001</v>
      </c>
      <c r="X170">
        <f t="shared" si="29"/>
        <v>-792.5268545898208</v>
      </c>
      <c r="Y170">
        <f t="shared" si="25"/>
        <v>287.4731454101792</v>
      </c>
      <c r="AA170">
        <f t="shared" si="26"/>
        <v>275.22525541017927</v>
      </c>
      <c r="AB170">
        <f t="shared" si="27"/>
        <v>275.22525541017927</v>
      </c>
    </row>
    <row r="171" spans="1:28" x14ac:dyDescent="0.25">
      <c r="A171">
        <v>50141</v>
      </c>
      <c r="B171">
        <v>71.3</v>
      </c>
      <c r="C171">
        <v>-22.2</v>
      </c>
      <c r="D171">
        <v>-19.05</v>
      </c>
      <c r="E171">
        <v>267.06</v>
      </c>
      <c r="F171">
        <v>1</v>
      </c>
      <c r="G171">
        <v>3</v>
      </c>
      <c r="H171">
        <v>5</v>
      </c>
      <c r="I171">
        <v>81</v>
      </c>
      <c r="L171">
        <f t="shared" si="20"/>
        <v>19.227</v>
      </c>
      <c r="N171">
        <f t="shared" si="21"/>
        <v>-0.77142857142857135</v>
      </c>
      <c r="O171">
        <f t="shared" si="22"/>
        <v>-0.45945945945945954</v>
      </c>
      <c r="Q171">
        <f t="shared" si="23"/>
        <v>-59.222158324175375</v>
      </c>
      <c r="R171">
        <f t="shared" si="24"/>
        <v>300.77784167582462</v>
      </c>
      <c r="W171">
        <f t="shared" si="28"/>
        <v>0.115</v>
      </c>
      <c r="X171">
        <f t="shared" si="29"/>
        <v>-800.72635458982086</v>
      </c>
      <c r="Y171">
        <f t="shared" si="25"/>
        <v>279.27364541017914</v>
      </c>
      <c r="AA171">
        <f t="shared" si="26"/>
        <v>276.52525541017928</v>
      </c>
      <c r="AB171">
        <f t="shared" si="27"/>
        <v>276.52525541017928</v>
      </c>
    </row>
    <row r="172" spans="1:28" x14ac:dyDescent="0.25">
      <c r="A172">
        <v>50257</v>
      </c>
      <c r="B172">
        <v>73.819999999999993</v>
      </c>
      <c r="C172">
        <v>-22.95</v>
      </c>
      <c r="D172">
        <v>-17.7</v>
      </c>
      <c r="E172">
        <v>266.47000000000003</v>
      </c>
      <c r="F172">
        <v>1</v>
      </c>
      <c r="G172">
        <v>2</v>
      </c>
      <c r="H172">
        <v>6</v>
      </c>
      <c r="I172">
        <v>83</v>
      </c>
      <c r="L172">
        <f t="shared" si="20"/>
        <v>19.343</v>
      </c>
      <c r="N172">
        <f t="shared" si="21"/>
        <v>-0.81904761904761891</v>
      </c>
      <c r="O172">
        <f t="shared" si="22"/>
        <v>-0.37837837837837834</v>
      </c>
      <c r="Q172">
        <f t="shared" si="23"/>
        <v>-65.20430939755289</v>
      </c>
      <c r="R172">
        <f t="shared" si="24"/>
        <v>294.79569060244711</v>
      </c>
      <c r="W172">
        <f t="shared" si="28"/>
        <v>0.11600000000000001</v>
      </c>
      <c r="X172">
        <f t="shared" si="29"/>
        <v>-809.28947458982088</v>
      </c>
      <c r="Y172">
        <f t="shared" si="25"/>
        <v>270.71052541017912</v>
      </c>
      <c r="AA172">
        <f t="shared" si="26"/>
        <v>277.11525541017926</v>
      </c>
      <c r="AB172">
        <f t="shared" si="27"/>
        <v>277.11525541017926</v>
      </c>
    </row>
    <row r="173" spans="1:28" x14ac:dyDescent="0.25">
      <c r="A173">
        <v>50372</v>
      </c>
      <c r="B173">
        <v>73.09</v>
      </c>
      <c r="C173">
        <v>-24.15</v>
      </c>
      <c r="D173">
        <v>-14.55</v>
      </c>
      <c r="E173">
        <v>266.08</v>
      </c>
      <c r="F173">
        <v>1</v>
      </c>
      <c r="G173">
        <v>2</v>
      </c>
      <c r="H173">
        <v>6</v>
      </c>
      <c r="I173">
        <v>75</v>
      </c>
      <c r="L173">
        <f t="shared" si="20"/>
        <v>19.457999999999998</v>
      </c>
      <c r="N173">
        <f t="shared" si="21"/>
        <v>-0.89523809523809506</v>
      </c>
      <c r="O173">
        <f t="shared" si="22"/>
        <v>-0.18918918918918923</v>
      </c>
      <c r="Q173">
        <f t="shared" si="23"/>
        <v>-78.067346195002159</v>
      </c>
      <c r="R173">
        <f t="shared" si="24"/>
        <v>281.93265380499781</v>
      </c>
      <c r="W173">
        <f t="shared" si="28"/>
        <v>0.115</v>
      </c>
      <c r="X173">
        <f t="shared" si="29"/>
        <v>-817.69482458982088</v>
      </c>
      <c r="Y173">
        <f t="shared" si="25"/>
        <v>262.30517541017912</v>
      </c>
      <c r="AA173">
        <f t="shared" si="26"/>
        <v>277.5052554101793</v>
      </c>
      <c r="AB173">
        <f t="shared" si="27"/>
        <v>277.5052554101793</v>
      </c>
    </row>
    <row r="174" spans="1:28" x14ac:dyDescent="0.25">
      <c r="A174">
        <v>50488</v>
      </c>
      <c r="B174">
        <v>75.59</v>
      </c>
      <c r="C174">
        <v>-23.85</v>
      </c>
      <c r="D174">
        <v>-12</v>
      </c>
      <c r="E174">
        <v>170.54</v>
      </c>
      <c r="F174">
        <v>1</v>
      </c>
      <c r="G174">
        <v>2</v>
      </c>
      <c r="H174">
        <v>7</v>
      </c>
      <c r="I174">
        <v>1</v>
      </c>
      <c r="L174">
        <f t="shared" si="20"/>
        <v>19.574000000000002</v>
      </c>
      <c r="N174">
        <f t="shared" si="21"/>
        <v>-0.87619047619047619</v>
      </c>
      <c r="O174">
        <f t="shared" si="22"/>
        <v>-3.6036036036036015E-2</v>
      </c>
      <c r="Q174">
        <f t="shared" si="23"/>
        <v>-87.644861654831033</v>
      </c>
      <c r="R174">
        <f t="shared" si="24"/>
        <v>272.35513834516894</v>
      </c>
      <c r="W174">
        <f t="shared" si="28"/>
        <v>0.11600000000000001</v>
      </c>
      <c r="X174">
        <f t="shared" si="29"/>
        <v>-826.46326458982094</v>
      </c>
      <c r="Y174">
        <f t="shared" si="25"/>
        <v>253.53673541017906</v>
      </c>
      <c r="AA174">
        <f t="shared" si="26"/>
        <v>373.04525541017927</v>
      </c>
      <c r="AB174">
        <f t="shared" si="27"/>
        <v>13.045255410179266</v>
      </c>
    </row>
    <row r="175" spans="1:28" x14ac:dyDescent="0.25">
      <c r="A175">
        <v>50603</v>
      </c>
      <c r="B175">
        <v>75.66</v>
      </c>
      <c r="C175">
        <v>-22.95</v>
      </c>
      <c r="D175">
        <v>-11.1</v>
      </c>
      <c r="E175">
        <v>264.99</v>
      </c>
      <c r="F175">
        <v>1</v>
      </c>
      <c r="G175">
        <v>1</v>
      </c>
      <c r="H175">
        <v>6</v>
      </c>
      <c r="I175">
        <v>58</v>
      </c>
      <c r="L175">
        <f t="shared" si="20"/>
        <v>19.689</v>
      </c>
      <c r="N175">
        <f t="shared" si="21"/>
        <v>-0.81904761904761891</v>
      </c>
      <c r="O175">
        <f t="shared" si="22"/>
        <v>1.8018018018018063E-2</v>
      </c>
      <c r="Q175">
        <f t="shared" si="23"/>
        <v>-91.260231856480516</v>
      </c>
      <c r="R175">
        <f t="shared" si="24"/>
        <v>268.73976814351948</v>
      </c>
      <c r="W175">
        <f t="shared" si="28"/>
        <v>0.115</v>
      </c>
      <c r="X175">
        <f t="shared" si="29"/>
        <v>-835.16416458982098</v>
      </c>
      <c r="Y175">
        <f t="shared" si="25"/>
        <v>244.83583541017902</v>
      </c>
      <c r="AA175">
        <f t="shared" si="26"/>
        <v>278.59525541017928</v>
      </c>
      <c r="AB175">
        <f t="shared" si="27"/>
        <v>278.59525541017928</v>
      </c>
    </row>
    <row r="176" spans="1:28" x14ac:dyDescent="0.25">
      <c r="A176">
        <v>50718</v>
      </c>
      <c r="B176">
        <v>72.349999999999994</v>
      </c>
      <c r="C176">
        <v>-23.55</v>
      </c>
      <c r="D176">
        <v>-8.1</v>
      </c>
      <c r="E176">
        <v>263.66000000000003</v>
      </c>
      <c r="F176">
        <v>2</v>
      </c>
      <c r="G176">
        <v>1</v>
      </c>
      <c r="H176">
        <v>7</v>
      </c>
      <c r="I176">
        <v>46</v>
      </c>
      <c r="L176">
        <f t="shared" si="20"/>
        <v>19.803999999999998</v>
      </c>
      <c r="N176">
        <f t="shared" si="21"/>
        <v>-0.8571428571428571</v>
      </c>
      <c r="O176">
        <f t="shared" si="22"/>
        <v>0.19819819819819826</v>
      </c>
      <c r="Q176">
        <f t="shared" si="23"/>
        <v>-103.01974651816175</v>
      </c>
      <c r="R176">
        <f t="shared" si="24"/>
        <v>256.98025348183825</v>
      </c>
      <c r="W176">
        <f t="shared" si="28"/>
        <v>0.115</v>
      </c>
      <c r="X176">
        <f t="shared" si="29"/>
        <v>-843.48441458982097</v>
      </c>
      <c r="Y176">
        <f t="shared" si="25"/>
        <v>236.51558541017903</v>
      </c>
      <c r="AA176">
        <f t="shared" si="26"/>
        <v>279.92525541017926</v>
      </c>
      <c r="AB176">
        <f t="shared" si="27"/>
        <v>279.92525541017926</v>
      </c>
    </row>
    <row r="177" spans="1:28" x14ac:dyDescent="0.25">
      <c r="A177">
        <v>50833</v>
      </c>
      <c r="B177">
        <v>69.599999999999994</v>
      </c>
      <c r="C177">
        <v>-22.8</v>
      </c>
      <c r="D177">
        <v>-6.15</v>
      </c>
      <c r="E177">
        <v>264.64</v>
      </c>
      <c r="F177">
        <v>4</v>
      </c>
      <c r="G177">
        <v>1</v>
      </c>
      <c r="H177">
        <v>7</v>
      </c>
      <c r="I177">
        <v>33</v>
      </c>
      <c r="L177">
        <f t="shared" si="20"/>
        <v>19.919</v>
      </c>
      <c r="N177">
        <f t="shared" si="21"/>
        <v>-0.80952380952380953</v>
      </c>
      <c r="O177">
        <f t="shared" si="22"/>
        <v>0.31531531531531537</v>
      </c>
      <c r="Q177">
        <f t="shared" si="23"/>
        <v>-111.28126951864272</v>
      </c>
      <c r="R177">
        <f t="shared" si="24"/>
        <v>248.71873048135728</v>
      </c>
      <c r="W177">
        <f t="shared" si="28"/>
        <v>0.115</v>
      </c>
      <c r="X177">
        <f t="shared" si="29"/>
        <v>-851.48841458982099</v>
      </c>
      <c r="Y177">
        <f t="shared" si="25"/>
        <v>228.51158541017901</v>
      </c>
      <c r="AA177">
        <f t="shared" si="26"/>
        <v>278.9452554101793</v>
      </c>
      <c r="AB177">
        <f t="shared" si="27"/>
        <v>278.9452554101793</v>
      </c>
    </row>
    <row r="178" spans="1:28" x14ac:dyDescent="0.25">
      <c r="A178">
        <v>50947</v>
      </c>
      <c r="B178">
        <v>71.64</v>
      </c>
      <c r="C178">
        <v>-22.35</v>
      </c>
      <c r="D178">
        <v>-3.6</v>
      </c>
      <c r="E178">
        <v>301.43</v>
      </c>
      <c r="F178">
        <v>18</v>
      </c>
      <c r="G178">
        <v>2</v>
      </c>
      <c r="H178">
        <v>7</v>
      </c>
      <c r="I178">
        <v>20</v>
      </c>
      <c r="L178">
        <f t="shared" si="20"/>
        <v>20.033000000000001</v>
      </c>
      <c r="N178">
        <f t="shared" si="21"/>
        <v>-0.78095238095238095</v>
      </c>
      <c r="O178">
        <f t="shared" si="22"/>
        <v>0.46846846846846857</v>
      </c>
      <c r="Q178">
        <f t="shared" si="23"/>
        <v>-120.9582019242855</v>
      </c>
      <c r="R178">
        <f t="shared" si="24"/>
        <v>239.0417980757145</v>
      </c>
      <c r="W178">
        <f t="shared" si="28"/>
        <v>0.114</v>
      </c>
      <c r="X178">
        <f t="shared" si="29"/>
        <v>-859.65537458982101</v>
      </c>
      <c r="Y178">
        <f t="shared" si="25"/>
        <v>220.34462541017899</v>
      </c>
      <c r="AA178">
        <f t="shared" si="26"/>
        <v>242.15525541017928</v>
      </c>
      <c r="AB178">
        <f t="shared" si="27"/>
        <v>242.15525541017928</v>
      </c>
    </row>
    <row r="179" spans="1:28" x14ac:dyDescent="0.25">
      <c r="A179">
        <v>51063</v>
      </c>
      <c r="B179">
        <v>73.63</v>
      </c>
      <c r="C179">
        <v>-21.45</v>
      </c>
      <c r="D179">
        <v>-1.5</v>
      </c>
      <c r="E179">
        <v>348.69</v>
      </c>
      <c r="F179">
        <v>46</v>
      </c>
      <c r="G179">
        <v>2</v>
      </c>
      <c r="H179">
        <v>6</v>
      </c>
      <c r="I179">
        <v>10</v>
      </c>
      <c r="L179">
        <f t="shared" si="20"/>
        <v>20.149000000000001</v>
      </c>
      <c r="N179">
        <f t="shared" si="21"/>
        <v>-0.72380952380952368</v>
      </c>
      <c r="O179">
        <f t="shared" si="22"/>
        <v>0.59459459459459463</v>
      </c>
      <c r="Q179">
        <f t="shared" si="23"/>
        <v>-129.40239866355515</v>
      </c>
      <c r="R179">
        <f t="shared" si="24"/>
        <v>230.59760133644485</v>
      </c>
      <c r="W179">
        <f t="shared" si="28"/>
        <v>0.11600000000000001</v>
      </c>
      <c r="X179">
        <f t="shared" si="29"/>
        <v>-868.19645458982097</v>
      </c>
      <c r="Y179">
        <f t="shared" si="25"/>
        <v>211.80354541017903</v>
      </c>
      <c r="AA179">
        <f t="shared" si="26"/>
        <v>194.89525541017929</v>
      </c>
      <c r="AB179">
        <f t="shared" si="27"/>
        <v>194.89525541017929</v>
      </c>
    </row>
    <row r="180" spans="1:28" x14ac:dyDescent="0.25">
      <c r="A180">
        <v>51179</v>
      </c>
      <c r="B180">
        <v>72.08</v>
      </c>
      <c r="C180">
        <v>-20.25</v>
      </c>
      <c r="D180">
        <v>1.05</v>
      </c>
      <c r="E180">
        <v>357.06</v>
      </c>
      <c r="F180">
        <v>83</v>
      </c>
      <c r="G180">
        <v>1</v>
      </c>
      <c r="H180">
        <v>5</v>
      </c>
      <c r="I180">
        <v>5</v>
      </c>
      <c r="L180">
        <f t="shared" si="20"/>
        <v>20.265000000000001</v>
      </c>
      <c r="N180">
        <f t="shared" si="21"/>
        <v>-0.64761904761904754</v>
      </c>
      <c r="O180">
        <f t="shared" si="22"/>
        <v>0.74774774774774788</v>
      </c>
      <c r="Q180">
        <f t="shared" si="23"/>
        <v>-139.10439415418074</v>
      </c>
      <c r="R180">
        <f t="shared" si="24"/>
        <v>220.89560584581926</v>
      </c>
      <c r="W180">
        <f t="shared" si="28"/>
        <v>0.11600000000000001</v>
      </c>
      <c r="X180">
        <f t="shared" si="29"/>
        <v>-876.55773458982094</v>
      </c>
      <c r="Y180">
        <f t="shared" si="25"/>
        <v>203.44226541017906</v>
      </c>
      <c r="AA180">
        <f t="shared" si="26"/>
        <v>186.52525541017928</v>
      </c>
      <c r="AB180">
        <f t="shared" si="27"/>
        <v>186.52525541017928</v>
      </c>
    </row>
    <row r="181" spans="1:28" x14ac:dyDescent="0.25">
      <c r="A181">
        <v>51292</v>
      </c>
      <c r="B181">
        <v>74.48</v>
      </c>
      <c r="C181">
        <v>-17.7</v>
      </c>
      <c r="D181">
        <v>0.3</v>
      </c>
      <c r="E181">
        <v>357.99</v>
      </c>
      <c r="F181">
        <v>119</v>
      </c>
      <c r="G181">
        <v>0</v>
      </c>
      <c r="H181">
        <v>5</v>
      </c>
      <c r="I181">
        <v>4</v>
      </c>
      <c r="L181">
        <f t="shared" si="20"/>
        <v>20.378</v>
      </c>
      <c r="N181">
        <f t="shared" si="21"/>
        <v>-0.4857142857142856</v>
      </c>
      <c r="O181">
        <f t="shared" si="22"/>
        <v>0.70270270270270285</v>
      </c>
      <c r="Q181">
        <f t="shared" si="23"/>
        <v>-145.34743094058115</v>
      </c>
      <c r="R181">
        <f t="shared" si="24"/>
        <v>214.65256905941885</v>
      </c>
      <c r="W181">
        <f t="shared" si="28"/>
        <v>0.113</v>
      </c>
      <c r="X181">
        <f t="shared" si="29"/>
        <v>-884.97397458982095</v>
      </c>
      <c r="Y181">
        <f t="shared" si="25"/>
        <v>195.02602541017905</v>
      </c>
      <c r="AA181">
        <f t="shared" si="26"/>
        <v>185.59525541017928</v>
      </c>
      <c r="AB181">
        <f t="shared" si="27"/>
        <v>185.59525541017928</v>
      </c>
    </row>
    <row r="182" spans="1:28" x14ac:dyDescent="0.25">
      <c r="A182">
        <v>51407</v>
      </c>
      <c r="B182">
        <v>73.84</v>
      </c>
      <c r="C182">
        <v>-16.649999999999999</v>
      </c>
      <c r="D182">
        <v>2.1</v>
      </c>
      <c r="E182">
        <v>358.84</v>
      </c>
      <c r="F182">
        <v>152</v>
      </c>
      <c r="G182">
        <v>1</v>
      </c>
      <c r="H182">
        <v>4</v>
      </c>
      <c r="I182">
        <v>4</v>
      </c>
      <c r="L182">
        <f t="shared" si="20"/>
        <v>20.492999999999999</v>
      </c>
      <c r="N182">
        <f t="shared" si="21"/>
        <v>-0.41904761904761889</v>
      </c>
      <c r="O182">
        <f t="shared" si="22"/>
        <v>0.81081081081081086</v>
      </c>
      <c r="Q182">
        <f t="shared" si="23"/>
        <v>-152.66893081527701</v>
      </c>
      <c r="R182">
        <f t="shared" si="24"/>
        <v>207.33106918472299</v>
      </c>
      <c r="W182">
        <f t="shared" si="28"/>
        <v>0.115</v>
      </c>
      <c r="X182">
        <f t="shared" si="29"/>
        <v>-893.4655745898209</v>
      </c>
      <c r="Y182">
        <f t="shared" si="25"/>
        <v>186.5344254101791</v>
      </c>
      <c r="AA182">
        <f t="shared" si="26"/>
        <v>184.74525541017931</v>
      </c>
      <c r="AB182">
        <f t="shared" si="27"/>
        <v>184.74525541017931</v>
      </c>
    </row>
    <row r="183" spans="1:28" x14ac:dyDescent="0.25">
      <c r="A183">
        <v>51521</v>
      </c>
      <c r="B183">
        <v>73.760000000000005</v>
      </c>
      <c r="C183">
        <v>-14.55</v>
      </c>
      <c r="D183">
        <v>2.5499999999999998</v>
      </c>
      <c r="E183">
        <v>359.04</v>
      </c>
      <c r="F183">
        <v>182</v>
      </c>
      <c r="G183">
        <v>1</v>
      </c>
      <c r="H183">
        <v>3</v>
      </c>
      <c r="I183">
        <v>4</v>
      </c>
      <c r="L183">
        <f t="shared" si="20"/>
        <v>20.606999999999999</v>
      </c>
      <c r="N183">
        <f t="shared" si="21"/>
        <v>-0.2857142857142857</v>
      </c>
      <c r="O183">
        <f t="shared" si="22"/>
        <v>0.83783783783783783</v>
      </c>
      <c r="Q183">
        <f t="shared" si="23"/>
        <v>-161.16991413457049</v>
      </c>
      <c r="R183">
        <f t="shared" si="24"/>
        <v>198.83008586542951</v>
      </c>
      <c r="W183">
        <f t="shared" si="28"/>
        <v>0.114</v>
      </c>
      <c r="X183">
        <f t="shared" si="29"/>
        <v>-901.87421458982089</v>
      </c>
      <c r="Y183">
        <f t="shared" si="25"/>
        <v>178.12578541017911</v>
      </c>
      <c r="AA183">
        <f t="shared" si="26"/>
        <v>184.54525541017927</v>
      </c>
      <c r="AB183">
        <f t="shared" si="27"/>
        <v>184.54525541017927</v>
      </c>
    </row>
    <row r="184" spans="1:28" x14ac:dyDescent="0.25">
      <c r="A184">
        <v>51636</v>
      </c>
      <c r="B184">
        <v>75.27</v>
      </c>
      <c r="C184">
        <v>-11.55</v>
      </c>
      <c r="D184">
        <v>4.2</v>
      </c>
      <c r="E184">
        <v>358.99</v>
      </c>
      <c r="F184">
        <v>174</v>
      </c>
      <c r="G184">
        <v>2</v>
      </c>
      <c r="H184">
        <v>3</v>
      </c>
      <c r="I184">
        <v>5</v>
      </c>
      <c r="L184">
        <f t="shared" si="20"/>
        <v>20.722000000000001</v>
      </c>
      <c r="N184">
        <f t="shared" si="21"/>
        <v>-9.5238095238095233E-2</v>
      </c>
      <c r="O184">
        <f t="shared" si="22"/>
        <v>0.93693693693693714</v>
      </c>
      <c r="Q184">
        <f t="shared" si="23"/>
        <v>-174.19591369634293</v>
      </c>
      <c r="R184">
        <f t="shared" si="24"/>
        <v>185.80408630365707</v>
      </c>
      <c r="W184">
        <f t="shared" si="28"/>
        <v>0.115</v>
      </c>
      <c r="X184">
        <f t="shared" si="29"/>
        <v>-910.53026458982094</v>
      </c>
      <c r="Y184">
        <f t="shared" si="25"/>
        <v>169.46973541017906</v>
      </c>
      <c r="AA184">
        <f t="shared" si="26"/>
        <v>184.59525541017928</v>
      </c>
      <c r="AB184">
        <f t="shared" si="27"/>
        <v>184.59525541017928</v>
      </c>
    </row>
    <row r="185" spans="1:28" x14ac:dyDescent="0.25">
      <c r="A185">
        <v>51751</v>
      </c>
      <c r="B185">
        <v>73.239999999999995</v>
      </c>
      <c r="C185">
        <v>-9.9</v>
      </c>
      <c r="D185">
        <v>4.3499999999999996</v>
      </c>
      <c r="E185">
        <v>358.85</v>
      </c>
      <c r="F185">
        <v>152</v>
      </c>
      <c r="G185">
        <v>2</v>
      </c>
      <c r="H185">
        <v>3</v>
      </c>
      <c r="I185">
        <v>5</v>
      </c>
      <c r="L185">
        <f t="shared" si="20"/>
        <v>20.837</v>
      </c>
      <c r="N185">
        <f t="shared" si="21"/>
        <v>9.5238095238095472E-3</v>
      </c>
      <c r="O185">
        <f t="shared" si="22"/>
        <v>0.94594594594594605</v>
      </c>
      <c r="Q185">
        <f t="shared" si="23"/>
        <v>179.423164022626</v>
      </c>
      <c r="R185">
        <f t="shared" si="24"/>
        <v>179.423164022626</v>
      </c>
      <c r="W185">
        <f t="shared" si="28"/>
        <v>0.115</v>
      </c>
      <c r="X185">
        <f t="shared" si="29"/>
        <v>-918.95286458982093</v>
      </c>
      <c r="Y185">
        <f t="shared" si="25"/>
        <v>161.04713541017907</v>
      </c>
      <c r="AA185">
        <f t="shared" si="26"/>
        <v>184.73525541017926</v>
      </c>
      <c r="AB185">
        <f t="shared" si="27"/>
        <v>184.73525541017926</v>
      </c>
    </row>
    <row r="186" spans="1:28" x14ac:dyDescent="0.25">
      <c r="A186">
        <v>51864</v>
      </c>
      <c r="B186">
        <v>70.599999999999994</v>
      </c>
      <c r="C186">
        <v>-8.6999999999999993</v>
      </c>
      <c r="D186">
        <v>3</v>
      </c>
      <c r="E186">
        <v>358.01</v>
      </c>
      <c r="F186">
        <v>118</v>
      </c>
      <c r="G186">
        <v>1</v>
      </c>
      <c r="H186">
        <v>3</v>
      </c>
      <c r="I186">
        <v>5</v>
      </c>
      <c r="L186">
        <f t="shared" si="20"/>
        <v>20.95</v>
      </c>
      <c r="N186">
        <f t="shared" si="21"/>
        <v>8.5714285714285798E-2</v>
      </c>
      <c r="O186">
        <f t="shared" si="22"/>
        <v>0.86486486486486491</v>
      </c>
      <c r="Q186">
        <f t="shared" si="23"/>
        <v>174.34006176886157</v>
      </c>
      <c r="R186">
        <f t="shared" si="24"/>
        <v>174.34006176886157</v>
      </c>
      <c r="W186">
        <f t="shared" si="28"/>
        <v>0.113</v>
      </c>
      <c r="X186">
        <f t="shared" si="29"/>
        <v>-926.93066458982094</v>
      </c>
      <c r="Y186">
        <f t="shared" si="25"/>
        <v>153.06933541017906</v>
      </c>
      <c r="AA186">
        <f t="shared" si="26"/>
        <v>185.5752554101793</v>
      </c>
      <c r="AB186">
        <f t="shared" si="27"/>
        <v>185.5752554101793</v>
      </c>
    </row>
    <row r="187" spans="1:28" x14ac:dyDescent="0.25">
      <c r="A187">
        <v>51978</v>
      </c>
      <c r="B187">
        <v>72.34</v>
      </c>
      <c r="C187">
        <v>-4.95</v>
      </c>
      <c r="D187">
        <v>3.6</v>
      </c>
      <c r="E187">
        <v>355.6</v>
      </c>
      <c r="F187">
        <v>69</v>
      </c>
      <c r="G187">
        <v>2</v>
      </c>
      <c r="H187">
        <v>4</v>
      </c>
      <c r="I187">
        <v>7</v>
      </c>
      <c r="L187">
        <f t="shared" si="20"/>
        <v>21.064</v>
      </c>
      <c r="N187">
        <f t="shared" si="21"/>
        <v>0.32380952380952382</v>
      </c>
      <c r="O187">
        <f t="shared" si="22"/>
        <v>0.90090090090090102</v>
      </c>
      <c r="Q187">
        <f t="shared" si="23"/>
        <v>160.23011302770976</v>
      </c>
      <c r="R187">
        <f t="shared" si="24"/>
        <v>160.23011302770976</v>
      </c>
      <c r="W187">
        <f t="shared" si="28"/>
        <v>0.114</v>
      </c>
      <c r="X187">
        <f t="shared" si="29"/>
        <v>-935.17742458982093</v>
      </c>
      <c r="Y187">
        <f t="shared" si="25"/>
        <v>144.82257541017907</v>
      </c>
      <c r="AA187">
        <f t="shared" si="26"/>
        <v>187.98525541017926</v>
      </c>
      <c r="AB187">
        <f t="shared" si="27"/>
        <v>187.98525541017926</v>
      </c>
    </row>
    <row r="188" spans="1:28" x14ac:dyDescent="0.25">
      <c r="A188">
        <v>52090</v>
      </c>
      <c r="B188">
        <v>73.11</v>
      </c>
      <c r="C188">
        <v>-2.4</v>
      </c>
      <c r="D188">
        <v>3.15</v>
      </c>
      <c r="E188">
        <v>351.57</v>
      </c>
      <c r="F188">
        <v>32</v>
      </c>
      <c r="G188">
        <v>4</v>
      </c>
      <c r="H188">
        <v>5</v>
      </c>
      <c r="I188">
        <v>8</v>
      </c>
      <c r="L188">
        <f t="shared" si="20"/>
        <v>21.175999999999998</v>
      </c>
      <c r="N188">
        <f t="shared" si="21"/>
        <v>0.48571428571428571</v>
      </c>
      <c r="O188">
        <f t="shared" si="22"/>
        <v>0.87387387387387394</v>
      </c>
      <c r="Q188">
        <f t="shared" si="23"/>
        <v>150.93393387966779</v>
      </c>
      <c r="R188">
        <f t="shared" si="24"/>
        <v>150.93393387966779</v>
      </c>
      <c r="W188">
        <f t="shared" si="28"/>
        <v>0.112</v>
      </c>
      <c r="X188">
        <f t="shared" si="29"/>
        <v>-943.36574458982091</v>
      </c>
      <c r="Y188">
        <f t="shared" si="25"/>
        <v>136.63425541017909</v>
      </c>
      <c r="AA188">
        <f t="shared" si="26"/>
        <v>192.01525541017929</v>
      </c>
      <c r="AB188">
        <f t="shared" si="27"/>
        <v>192.01525541017929</v>
      </c>
    </row>
    <row r="189" spans="1:28" x14ac:dyDescent="0.25">
      <c r="A189">
        <v>52203</v>
      </c>
      <c r="B189">
        <v>75.17</v>
      </c>
      <c r="C189">
        <v>-0.75</v>
      </c>
      <c r="D189">
        <v>1.5</v>
      </c>
      <c r="E189">
        <v>88.41</v>
      </c>
      <c r="F189">
        <v>7</v>
      </c>
      <c r="G189">
        <v>45</v>
      </c>
      <c r="H189">
        <v>6</v>
      </c>
      <c r="I189">
        <v>9</v>
      </c>
      <c r="L189">
        <f t="shared" si="20"/>
        <v>21.289000000000001</v>
      </c>
      <c r="N189">
        <f t="shared" si="21"/>
        <v>0.59047619047619049</v>
      </c>
      <c r="O189">
        <f t="shared" si="22"/>
        <v>0.77477477477477485</v>
      </c>
      <c r="Q189">
        <f t="shared" si="23"/>
        <v>142.6880234085877</v>
      </c>
      <c r="R189">
        <f t="shared" si="24"/>
        <v>142.6880234085877</v>
      </c>
      <c r="W189">
        <f t="shared" si="28"/>
        <v>0.113</v>
      </c>
      <c r="X189">
        <f t="shared" si="29"/>
        <v>-951.85995458982086</v>
      </c>
      <c r="Y189">
        <f t="shared" si="25"/>
        <v>128.14004541017914</v>
      </c>
      <c r="AA189">
        <f t="shared" si="26"/>
        <v>455.17525541017932</v>
      </c>
      <c r="AB189">
        <f t="shared" si="27"/>
        <v>95.175255410179318</v>
      </c>
    </row>
    <row r="190" spans="1:28" x14ac:dyDescent="0.25">
      <c r="A190">
        <v>52314</v>
      </c>
      <c r="B190">
        <v>73.709999999999994</v>
      </c>
      <c r="C190">
        <v>-1.2</v>
      </c>
      <c r="D190">
        <v>-0.9</v>
      </c>
      <c r="E190">
        <v>90.74</v>
      </c>
      <c r="F190">
        <v>5</v>
      </c>
      <c r="G190">
        <v>85</v>
      </c>
      <c r="H190">
        <v>6</v>
      </c>
      <c r="I190">
        <v>8</v>
      </c>
      <c r="L190">
        <f t="shared" si="20"/>
        <v>21.4</v>
      </c>
      <c r="N190">
        <f t="shared" si="21"/>
        <v>0.56190476190476202</v>
      </c>
      <c r="O190">
        <f t="shared" si="22"/>
        <v>0.63063063063063074</v>
      </c>
      <c r="Q190">
        <f t="shared" si="23"/>
        <v>138.29831012521174</v>
      </c>
      <c r="R190">
        <f t="shared" si="24"/>
        <v>138.29831012521174</v>
      </c>
      <c r="W190">
        <f t="shared" si="28"/>
        <v>0.111</v>
      </c>
      <c r="X190">
        <f t="shared" si="29"/>
        <v>-960.0417645898209</v>
      </c>
      <c r="Y190">
        <f t="shared" si="25"/>
        <v>119.9582354101791</v>
      </c>
      <c r="AA190">
        <f t="shared" si="26"/>
        <v>452.84525541017928</v>
      </c>
      <c r="AB190">
        <f t="shared" si="27"/>
        <v>92.845255410179277</v>
      </c>
    </row>
    <row r="191" spans="1:28" x14ac:dyDescent="0.25">
      <c r="A191">
        <v>52427</v>
      </c>
      <c r="B191">
        <v>72.92</v>
      </c>
      <c r="C191">
        <v>1.65</v>
      </c>
      <c r="D191">
        <v>-2.85</v>
      </c>
      <c r="E191">
        <v>91.06</v>
      </c>
      <c r="F191">
        <v>4</v>
      </c>
      <c r="G191">
        <v>115</v>
      </c>
      <c r="H191">
        <v>6</v>
      </c>
      <c r="I191">
        <v>7</v>
      </c>
      <c r="L191">
        <f t="shared" si="20"/>
        <v>21.513000000000002</v>
      </c>
      <c r="N191">
        <f t="shared" si="21"/>
        <v>0.74285714285714288</v>
      </c>
      <c r="O191">
        <f t="shared" si="22"/>
        <v>0.5135135135135136</v>
      </c>
      <c r="Q191">
        <f t="shared" si="23"/>
        <v>124.65487204235011</v>
      </c>
      <c r="R191">
        <f t="shared" si="24"/>
        <v>124.65487204235011</v>
      </c>
      <c r="W191">
        <f t="shared" si="28"/>
        <v>0.113</v>
      </c>
      <c r="X191">
        <f t="shared" si="29"/>
        <v>-968.2817245898209</v>
      </c>
      <c r="Y191">
        <f t="shared" si="25"/>
        <v>111.7182754101791</v>
      </c>
      <c r="AA191">
        <f t="shared" si="26"/>
        <v>452.52525541017928</v>
      </c>
      <c r="AB191">
        <f t="shared" si="27"/>
        <v>92.525255410179284</v>
      </c>
    </row>
    <row r="192" spans="1:28" x14ac:dyDescent="0.25">
      <c r="A192">
        <v>52539</v>
      </c>
      <c r="B192">
        <v>70.47</v>
      </c>
      <c r="C192">
        <v>2.25</v>
      </c>
      <c r="D192">
        <v>-3.45</v>
      </c>
      <c r="E192">
        <v>90.9</v>
      </c>
      <c r="F192">
        <v>3</v>
      </c>
      <c r="G192">
        <v>132</v>
      </c>
      <c r="H192">
        <v>5</v>
      </c>
      <c r="I192">
        <v>5</v>
      </c>
      <c r="L192">
        <f t="shared" si="20"/>
        <v>21.625</v>
      </c>
      <c r="N192">
        <f t="shared" si="21"/>
        <v>0.78095238095238095</v>
      </c>
      <c r="O192">
        <f t="shared" si="22"/>
        <v>0.47747747747747754</v>
      </c>
      <c r="Q192">
        <f t="shared" si="23"/>
        <v>121.44178594434128</v>
      </c>
      <c r="R192">
        <f t="shared" si="24"/>
        <v>121.44178594434128</v>
      </c>
      <c r="W192">
        <f t="shared" si="28"/>
        <v>0.112</v>
      </c>
      <c r="X192">
        <f t="shared" si="29"/>
        <v>-976.17436458982093</v>
      </c>
      <c r="Y192">
        <f t="shared" si="25"/>
        <v>103.82563541017907</v>
      </c>
      <c r="AA192">
        <f t="shared" si="26"/>
        <v>452.68525541017931</v>
      </c>
      <c r="AB192">
        <f t="shared" si="27"/>
        <v>92.685255410179309</v>
      </c>
    </row>
    <row r="193" spans="1:28" x14ac:dyDescent="0.25">
      <c r="A193">
        <v>52652</v>
      </c>
      <c r="B193">
        <v>71.05</v>
      </c>
      <c r="C193">
        <v>3.9</v>
      </c>
      <c r="D193">
        <v>-5.4</v>
      </c>
      <c r="E193">
        <v>90.43</v>
      </c>
      <c r="F193">
        <v>3</v>
      </c>
      <c r="G193">
        <v>138</v>
      </c>
      <c r="H193">
        <v>4</v>
      </c>
      <c r="I193">
        <v>4</v>
      </c>
      <c r="L193">
        <f t="shared" si="20"/>
        <v>21.738</v>
      </c>
      <c r="N193">
        <f t="shared" si="21"/>
        <v>0.88571428571428579</v>
      </c>
      <c r="O193">
        <f t="shared" si="22"/>
        <v>0.3603603603603604</v>
      </c>
      <c r="Q193">
        <f t="shared" si="23"/>
        <v>112.13936617589897</v>
      </c>
      <c r="R193">
        <f t="shared" si="24"/>
        <v>112.13936617589897</v>
      </c>
      <c r="W193">
        <f t="shared" si="28"/>
        <v>0.113</v>
      </c>
      <c r="X193">
        <f t="shared" si="29"/>
        <v>-984.2030145898209</v>
      </c>
      <c r="Y193">
        <f t="shared" si="25"/>
        <v>95.796985410179104</v>
      </c>
      <c r="AA193">
        <f t="shared" si="26"/>
        <v>453.15525541017928</v>
      </c>
      <c r="AB193">
        <f t="shared" si="27"/>
        <v>93.155255410179279</v>
      </c>
    </row>
    <row r="194" spans="1:28" x14ac:dyDescent="0.25">
      <c r="A194">
        <v>52764</v>
      </c>
      <c r="B194">
        <v>74.25</v>
      </c>
      <c r="C194">
        <v>3.3</v>
      </c>
      <c r="D194">
        <v>-6.3</v>
      </c>
      <c r="E194">
        <v>90</v>
      </c>
      <c r="F194">
        <v>4</v>
      </c>
      <c r="G194">
        <v>118</v>
      </c>
      <c r="H194">
        <v>4</v>
      </c>
      <c r="I194">
        <v>4</v>
      </c>
      <c r="L194">
        <f t="shared" si="20"/>
        <v>21.85</v>
      </c>
      <c r="N194">
        <f t="shared" si="21"/>
        <v>0.84761904761904772</v>
      </c>
      <c r="O194">
        <f t="shared" si="22"/>
        <v>0.30630630630630634</v>
      </c>
      <c r="Q194">
        <f t="shared" si="23"/>
        <v>109.86846758257022</v>
      </c>
      <c r="R194">
        <f t="shared" si="24"/>
        <v>109.86846758257022</v>
      </c>
      <c r="W194">
        <f t="shared" si="28"/>
        <v>0.112</v>
      </c>
      <c r="X194">
        <f t="shared" si="29"/>
        <v>-992.51901458982093</v>
      </c>
      <c r="Y194">
        <f t="shared" si="25"/>
        <v>87.480985410179073</v>
      </c>
      <c r="AA194">
        <f t="shared" si="26"/>
        <v>453.58525541017929</v>
      </c>
      <c r="AB194">
        <f t="shared" si="27"/>
        <v>93.585255410179286</v>
      </c>
    </row>
    <row r="195" spans="1:28" x14ac:dyDescent="0.25">
      <c r="A195">
        <v>52877</v>
      </c>
      <c r="B195">
        <v>73.319999999999993</v>
      </c>
      <c r="C195">
        <v>3.3</v>
      </c>
      <c r="D195">
        <v>-9.6</v>
      </c>
      <c r="E195">
        <v>89.47</v>
      </c>
      <c r="F195">
        <v>5</v>
      </c>
      <c r="G195">
        <v>112</v>
      </c>
      <c r="H195">
        <v>4</v>
      </c>
      <c r="I195">
        <v>3</v>
      </c>
      <c r="L195">
        <f t="shared" ref="L195:L258" si="30">(A195-$A$2)/1000</f>
        <v>21.963000000000001</v>
      </c>
      <c r="N195">
        <f t="shared" ref="N195:N258" si="31">(C195-$U$3)/((MAX(C:C)-MIN(C:C))/2)</f>
        <v>0.84761904761904772</v>
      </c>
      <c r="O195">
        <f t="shared" ref="O195:O258" si="32">(D195-$U$4)/((MAX(D:D)-MIN(D:D))/2)</f>
        <v>0.10810810810810816</v>
      </c>
      <c r="Q195">
        <f t="shared" ref="Q195:Q258" si="33">ATAN2(-O195,N195)*180/PI()</f>
        <v>97.268448168074627</v>
      </c>
      <c r="R195">
        <f t="shared" ref="R195:R258" si="34">IF(Q195&lt;0,Q195+360,Q195)</f>
        <v>97.268448168074627</v>
      </c>
      <c r="W195">
        <f t="shared" si="28"/>
        <v>0.113</v>
      </c>
      <c r="X195">
        <f t="shared" si="29"/>
        <v>-1000.8041745898209</v>
      </c>
      <c r="Y195">
        <f t="shared" ref="Y195:Y258" si="35">MOD((MOD(X195,360)+360),360)</f>
        <v>79.195825410179054</v>
      </c>
      <c r="AA195">
        <f t="shared" ref="AA195:AA258" si="36">-E195+$E$2+$R$2</f>
        <v>454.11525541017926</v>
      </c>
      <c r="AB195">
        <f t="shared" ref="AB195:AB258" si="37">IF(AA195&gt;360,AA195-360,AA195)</f>
        <v>94.115255410179259</v>
      </c>
    </row>
    <row r="196" spans="1:28" x14ac:dyDescent="0.25">
      <c r="A196">
        <v>52989</v>
      </c>
      <c r="B196">
        <v>74.61</v>
      </c>
      <c r="C196">
        <v>4.3499999999999996</v>
      </c>
      <c r="D196">
        <v>-12.9</v>
      </c>
      <c r="E196">
        <v>88.59</v>
      </c>
      <c r="F196">
        <v>6</v>
      </c>
      <c r="G196">
        <v>84</v>
      </c>
      <c r="H196">
        <v>4</v>
      </c>
      <c r="I196">
        <v>3</v>
      </c>
      <c r="L196">
        <f t="shared" si="30"/>
        <v>22.074999999999999</v>
      </c>
      <c r="N196">
        <f t="shared" si="31"/>
        <v>0.91428571428571426</v>
      </c>
      <c r="O196">
        <f t="shared" si="32"/>
        <v>-9.00900900900901E-2</v>
      </c>
      <c r="Q196">
        <f t="shared" si="33"/>
        <v>84.372467315457058</v>
      </c>
      <c r="R196">
        <f t="shared" si="34"/>
        <v>84.372467315457058</v>
      </c>
      <c r="W196">
        <f t="shared" ref="W196:W259" si="38">(A196-A195)/1000</f>
        <v>0.112</v>
      </c>
      <c r="X196">
        <f t="shared" ref="X196:X259" si="39">X195-B196*W196</f>
        <v>-1009.1604945898209</v>
      </c>
      <c r="Y196">
        <f t="shared" si="35"/>
        <v>70.839505410179072</v>
      </c>
      <c r="AA196">
        <f t="shared" si="36"/>
        <v>454.99525541017925</v>
      </c>
      <c r="AB196">
        <f t="shared" si="37"/>
        <v>94.995255410179254</v>
      </c>
    </row>
    <row r="197" spans="1:28" x14ac:dyDescent="0.25">
      <c r="A197">
        <v>53103</v>
      </c>
      <c r="B197">
        <v>71.97</v>
      </c>
      <c r="C197">
        <v>3.45</v>
      </c>
      <c r="D197">
        <v>-13.05</v>
      </c>
      <c r="E197">
        <v>88.03</v>
      </c>
      <c r="F197">
        <v>7</v>
      </c>
      <c r="G197">
        <v>62</v>
      </c>
      <c r="H197">
        <v>5</v>
      </c>
      <c r="I197">
        <v>4</v>
      </c>
      <c r="L197">
        <f t="shared" si="30"/>
        <v>22.189</v>
      </c>
      <c r="N197">
        <f t="shared" si="31"/>
        <v>0.8571428571428571</v>
      </c>
      <c r="O197">
        <f t="shared" si="32"/>
        <v>-9.9099099099099128E-2</v>
      </c>
      <c r="Q197">
        <f t="shared" si="33"/>
        <v>83.404994245256106</v>
      </c>
      <c r="R197">
        <f t="shared" si="34"/>
        <v>83.404994245256106</v>
      </c>
      <c r="W197">
        <f t="shared" si="38"/>
        <v>0.114</v>
      </c>
      <c r="X197">
        <f t="shared" si="39"/>
        <v>-1017.3650745898209</v>
      </c>
      <c r="Y197">
        <f t="shared" si="35"/>
        <v>62.634925410179108</v>
      </c>
      <c r="AA197">
        <f t="shared" si="36"/>
        <v>455.55525541017931</v>
      </c>
      <c r="AB197">
        <f t="shared" si="37"/>
        <v>95.555255410179313</v>
      </c>
    </row>
    <row r="198" spans="1:28" x14ac:dyDescent="0.25">
      <c r="A198">
        <v>53215</v>
      </c>
      <c r="B198">
        <v>72.34</v>
      </c>
      <c r="C198">
        <v>3.45</v>
      </c>
      <c r="D198">
        <v>-15.3</v>
      </c>
      <c r="E198">
        <v>94.97</v>
      </c>
      <c r="F198">
        <v>7</v>
      </c>
      <c r="G198">
        <v>50</v>
      </c>
      <c r="H198">
        <v>11</v>
      </c>
      <c r="I198">
        <v>4</v>
      </c>
      <c r="L198">
        <f t="shared" si="30"/>
        <v>22.300999999999998</v>
      </c>
      <c r="N198">
        <f t="shared" si="31"/>
        <v>0.8571428571428571</v>
      </c>
      <c r="O198">
        <f t="shared" si="32"/>
        <v>-0.23423423423423428</v>
      </c>
      <c r="Q198">
        <f t="shared" si="33"/>
        <v>74.715767590345735</v>
      </c>
      <c r="R198">
        <f t="shared" si="34"/>
        <v>74.715767590345735</v>
      </c>
      <c r="W198">
        <f t="shared" si="38"/>
        <v>0.112</v>
      </c>
      <c r="X198">
        <f t="shared" si="39"/>
        <v>-1025.4671545898209</v>
      </c>
      <c r="Y198">
        <f t="shared" si="35"/>
        <v>54.532845410179107</v>
      </c>
      <c r="AA198">
        <f t="shared" si="36"/>
        <v>448.61525541017926</v>
      </c>
      <c r="AB198">
        <f t="shared" si="37"/>
        <v>88.615255410179259</v>
      </c>
    </row>
    <row r="199" spans="1:28" x14ac:dyDescent="0.25">
      <c r="A199">
        <v>53329</v>
      </c>
      <c r="B199">
        <v>73.540000000000006</v>
      </c>
      <c r="C199">
        <v>3.6</v>
      </c>
      <c r="D199">
        <v>-17.25</v>
      </c>
      <c r="E199">
        <v>149.53</v>
      </c>
      <c r="F199">
        <v>7</v>
      </c>
      <c r="G199">
        <v>24</v>
      </c>
      <c r="H199">
        <v>41</v>
      </c>
      <c r="I199">
        <v>4</v>
      </c>
      <c r="L199">
        <f t="shared" si="30"/>
        <v>22.414999999999999</v>
      </c>
      <c r="N199">
        <f t="shared" si="31"/>
        <v>0.8666666666666667</v>
      </c>
      <c r="O199">
        <f t="shared" si="32"/>
        <v>-0.35135135135135137</v>
      </c>
      <c r="Q199">
        <f t="shared" si="33"/>
        <v>67.932100437589796</v>
      </c>
      <c r="R199">
        <f t="shared" si="34"/>
        <v>67.932100437589796</v>
      </c>
      <c r="W199">
        <f t="shared" si="38"/>
        <v>0.114</v>
      </c>
      <c r="X199">
        <f t="shared" si="39"/>
        <v>-1033.8507145898209</v>
      </c>
      <c r="Y199">
        <f t="shared" si="35"/>
        <v>46.149285410179118</v>
      </c>
      <c r="AA199">
        <f t="shared" si="36"/>
        <v>394.05525541017926</v>
      </c>
      <c r="AB199">
        <f t="shared" si="37"/>
        <v>34.055255410179257</v>
      </c>
    </row>
    <row r="200" spans="1:28" x14ac:dyDescent="0.25">
      <c r="A200">
        <v>53443</v>
      </c>
      <c r="B200">
        <v>72.45</v>
      </c>
      <c r="C200">
        <v>2.5499999999999998</v>
      </c>
      <c r="D200">
        <v>-20.25</v>
      </c>
      <c r="E200">
        <v>177.4</v>
      </c>
      <c r="F200">
        <v>7</v>
      </c>
      <c r="G200">
        <v>6</v>
      </c>
      <c r="H200">
        <v>73</v>
      </c>
      <c r="I200">
        <v>3</v>
      </c>
      <c r="L200">
        <f t="shared" si="30"/>
        <v>22.529</v>
      </c>
      <c r="N200">
        <f t="shared" si="31"/>
        <v>0.8</v>
      </c>
      <c r="O200">
        <f t="shared" si="32"/>
        <v>-0.53153153153153154</v>
      </c>
      <c r="Q200">
        <f t="shared" si="33"/>
        <v>56.399363899071282</v>
      </c>
      <c r="R200">
        <f t="shared" si="34"/>
        <v>56.399363899071282</v>
      </c>
      <c r="W200">
        <f t="shared" si="38"/>
        <v>0.114</v>
      </c>
      <c r="X200">
        <f t="shared" si="39"/>
        <v>-1042.1100145898208</v>
      </c>
      <c r="Y200">
        <f t="shared" si="35"/>
        <v>37.889985410179179</v>
      </c>
      <c r="AA200">
        <f t="shared" si="36"/>
        <v>366.18525541017925</v>
      </c>
      <c r="AB200">
        <f t="shared" si="37"/>
        <v>6.1852554101792521</v>
      </c>
    </row>
    <row r="201" spans="1:28" x14ac:dyDescent="0.25">
      <c r="A201">
        <v>53557</v>
      </c>
      <c r="B201">
        <v>70.599999999999994</v>
      </c>
      <c r="C201">
        <v>1.2</v>
      </c>
      <c r="D201">
        <v>-21.75</v>
      </c>
      <c r="E201">
        <v>180</v>
      </c>
      <c r="F201">
        <v>6</v>
      </c>
      <c r="G201">
        <v>3</v>
      </c>
      <c r="H201">
        <v>104</v>
      </c>
      <c r="I201">
        <v>3</v>
      </c>
      <c r="L201">
        <f t="shared" si="30"/>
        <v>22.643000000000001</v>
      </c>
      <c r="N201">
        <f t="shared" si="31"/>
        <v>0.7142857142857143</v>
      </c>
      <c r="O201">
        <f t="shared" si="32"/>
        <v>-0.6216216216216216</v>
      </c>
      <c r="Q201">
        <f t="shared" si="33"/>
        <v>48.967918137986906</v>
      </c>
      <c r="R201">
        <f t="shared" si="34"/>
        <v>48.967918137986906</v>
      </c>
      <c r="W201">
        <f t="shared" si="38"/>
        <v>0.114</v>
      </c>
      <c r="X201">
        <f t="shared" si="39"/>
        <v>-1050.1584145898207</v>
      </c>
      <c r="Y201">
        <f t="shared" si="35"/>
        <v>29.841585410179277</v>
      </c>
      <c r="AA201">
        <f t="shared" si="36"/>
        <v>363.58525541017929</v>
      </c>
      <c r="AB201">
        <f t="shared" si="37"/>
        <v>3.5852554101792862</v>
      </c>
    </row>
    <row r="202" spans="1:28" x14ac:dyDescent="0.25">
      <c r="A202">
        <v>53672</v>
      </c>
      <c r="B202">
        <v>70.400000000000006</v>
      </c>
      <c r="C202">
        <v>0.6</v>
      </c>
      <c r="D202">
        <v>-21.9</v>
      </c>
      <c r="E202">
        <v>180</v>
      </c>
      <c r="F202">
        <v>6</v>
      </c>
      <c r="G202">
        <v>2</v>
      </c>
      <c r="H202">
        <v>123</v>
      </c>
      <c r="I202">
        <v>2</v>
      </c>
      <c r="L202">
        <f t="shared" si="30"/>
        <v>22.757999999999999</v>
      </c>
      <c r="N202">
        <f t="shared" si="31"/>
        <v>0.67619047619047623</v>
      </c>
      <c r="O202">
        <f t="shared" si="32"/>
        <v>-0.63063063063063063</v>
      </c>
      <c r="Q202">
        <f t="shared" si="33"/>
        <v>46.996700264856479</v>
      </c>
      <c r="R202">
        <f t="shared" si="34"/>
        <v>46.996700264856479</v>
      </c>
      <c r="W202">
        <f t="shared" si="38"/>
        <v>0.115</v>
      </c>
      <c r="X202">
        <f t="shared" si="39"/>
        <v>-1058.2544145898207</v>
      </c>
      <c r="Y202">
        <f t="shared" si="35"/>
        <v>21.745585410179274</v>
      </c>
      <c r="AA202">
        <f t="shared" si="36"/>
        <v>363.58525541017929</v>
      </c>
      <c r="AB202">
        <f t="shared" si="37"/>
        <v>3.5852554101792862</v>
      </c>
    </row>
    <row r="203" spans="1:28" x14ac:dyDescent="0.25">
      <c r="A203">
        <v>53786</v>
      </c>
      <c r="B203">
        <v>72.819999999999993</v>
      </c>
      <c r="C203">
        <v>-1.95</v>
      </c>
      <c r="D203">
        <v>-23.55</v>
      </c>
      <c r="E203">
        <v>179.55</v>
      </c>
      <c r="F203">
        <v>5</v>
      </c>
      <c r="G203">
        <v>3</v>
      </c>
      <c r="H203">
        <v>132</v>
      </c>
      <c r="I203">
        <v>2</v>
      </c>
      <c r="L203">
        <f t="shared" si="30"/>
        <v>22.872</v>
      </c>
      <c r="N203">
        <f t="shared" si="31"/>
        <v>0.51428571428571435</v>
      </c>
      <c r="O203">
        <f t="shared" si="32"/>
        <v>-0.72972972972972983</v>
      </c>
      <c r="Q203">
        <f t="shared" si="33"/>
        <v>35.174722957851543</v>
      </c>
      <c r="R203">
        <f t="shared" si="34"/>
        <v>35.174722957851543</v>
      </c>
      <c r="W203">
        <f t="shared" si="38"/>
        <v>0.114</v>
      </c>
      <c r="X203">
        <f t="shared" si="39"/>
        <v>-1066.5558945898208</v>
      </c>
      <c r="Y203">
        <f t="shared" si="35"/>
        <v>13.444105410179191</v>
      </c>
      <c r="AA203">
        <f t="shared" si="36"/>
        <v>364.03525541017927</v>
      </c>
      <c r="AB203">
        <f t="shared" si="37"/>
        <v>4.0352554101792748</v>
      </c>
    </row>
    <row r="204" spans="1:28" x14ac:dyDescent="0.25">
      <c r="A204">
        <v>53902</v>
      </c>
      <c r="B204">
        <v>72.209999999999994</v>
      </c>
      <c r="C204">
        <v>-2.85</v>
      </c>
      <c r="D204">
        <v>-24.6</v>
      </c>
      <c r="E204">
        <v>179.55</v>
      </c>
      <c r="F204">
        <v>3</v>
      </c>
      <c r="G204">
        <v>3</v>
      </c>
      <c r="H204">
        <v>131</v>
      </c>
      <c r="I204">
        <v>2</v>
      </c>
      <c r="L204">
        <f t="shared" si="30"/>
        <v>22.988</v>
      </c>
      <c r="N204">
        <f t="shared" si="31"/>
        <v>0.45714285714285718</v>
      </c>
      <c r="O204">
        <f t="shared" si="32"/>
        <v>-0.79279279279279291</v>
      </c>
      <c r="Q204">
        <f t="shared" si="33"/>
        <v>29.968754261230028</v>
      </c>
      <c r="R204">
        <f t="shared" si="34"/>
        <v>29.968754261230028</v>
      </c>
      <c r="W204">
        <f t="shared" si="38"/>
        <v>0.11600000000000001</v>
      </c>
      <c r="X204">
        <f t="shared" si="39"/>
        <v>-1074.9322545898208</v>
      </c>
      <c r="Y204">
        <f t="shared" si="35"/>
        <v>5.0677454101792136</v>
      </c>
      <c r="AA204">
        <f t="shared" si="36"/>
        <v>364.03525541017927</v>
      </c>
      <c r="AB204">
        <f t="shared" si="37"/>
        <v>4.0352554101792748</v>
      </c>
    </row>
    <row r="205" spans="1:28" x14ac:dyDescent="0.25">
      <c r="A205">
        <v>54017</v>
      </c>
      <c r="B205">
        <v>74.05</v>
      </c>
      <c r="C205">
        <v>-3.3</v>
      </c>
      <c r="D205">
        <v>-25.65</v>
      </c>
      <c r="E205">
        <v>178.98</v>
      </c>
      <c r="F205">
        <v>3</v>
      </c>
      <c r="G205">
        <v>4</v>
      </c>
      <c r="H205">
        <v>115</v>
      </c>
      <c r="I205">
        <v>2</v>
      </c>
      <c r="L205">
        <f t="shared" si="30"/>
        <v>23.103000000000002</v>
      </c>
      <c r="N205">
        <f t="shared" si="31"/>
        <v>0.4285714285714286</v>
      </c>
      <c r="O205">
        <f t="shared" si="32"/>
        <v>-0.85585585585585577</v>
      </c>
      <c r="Q205">
        <f t="shared" si="33"/>
        <v>26.599504437815959</v>
      </c>
      <c r="R205">
        <f t="shared" si="34"/>
        <v>26.599504437815959</v>
      </c>
      <c r="W205">
        <f t="shared" si="38"/>
        <v>0.115</v>
      </c>
      <c r="X205">
        <f t="shared" si="39"/>
        <v>-1083.4480045898208</v>
      </c>
      <c r="Y205">
        <f t="shared" si="35"/>
        <v>356.55199541017919</v>
      </c>
      <c r="AA205">
        <f t="shared" si="36"/>
        <v>364.60525541017932</v>
      </c>
      <c r="AB205">
        <f t="shared" si="37"/>
        <v>4.6052554101793248</v>
      </c>
    </row>
    <row r="206" spans="1:28" x14ac:dyDescent="0.25">
      <c r="A206">
        <v>54133</v>
      </c>
      <c r="B206">
        <v>71.099999999999994</v>
      </c>
      <c r="C206">
        <v>-5.85</v>
      </c>
      <c r="D206">
        <v>-27.15</v>
      </c>
      <c r="E206">
        <v>63.43</v>
      </c>
      <c r="F206">
        <v>3</v>
      </c>
      <c r="G206">
        <v>5</v>
      </c>
      <c r="H206">
        <v>1</v>
      </c>
      <c r="I206">
        <v>1</v>
      </c>
      <c r="L206">
        <f t="shared" si="30"/>
        <v>23.219000000000001</v>
      </c>
      <c r="N206">
        <f t="shared" si="31"/>
        <v>0.26666666666666672</v>
      </c>
      <c r="O206">
        <f t="shared" si="32"/>
        <v>-0.94594594594594594</v>
      </c>
      <c r="Q206">
        <f t="shared" si="33"/>
        <v>15.743397011528684</v>
      </c>
      <c r="R206">
        <f t="shared" si="34"/>
        <v>15.743397011528684</v>
      </c>
      <c r="W206">
        <f t="shared" si="38"/>
        <v>0.11600000000000001</v>
      </c>
      <c r="X206">
        <f t="shared" si="39"/>
        <v>-1091.6956045898207</v>
      </c>
      <c r="Y206">
        <f t="shared" si="35"/>
        <v>348.30439541017927</v>
      </c>
      <c r="AA206">
        <f t="shared" si="36"/>
        <v>480.15525541017928</v>
      </c>
      <c r="AB206">
        <f t="shared" si="37"/>
        <v>120.15525541017928</v>
      </c>
    </row>
    <row r="207" spans="1:28" x14ac:dyDescent="0.25">
      <c r="A207">
        <v>54246</v>
      </c>
      <c r="B207">
        <v>72.150000000000006</v>
      </c>
      <c r="C207">
        <v>-8.25</v>
      </c>
      <c r="D207">
        <v>-26.85</v>
      </c>
      <c r="E207">
        <v>176.63</v>
      </c>
      <c r="F207">
        <v>2</v>
      </c>
      <c r="G207">
        <v>6</v>
      </c>
      <c r="H207">
        <v>70</v>
      </c>
      <c r="I207">
        <v>2</v>
      </c>
      <c r="L207">
        <f t="shared" si="30"/>
        <v>23.332000000000001</v>
      </c>
      <c r="N207">
        <f t="shared" si="31"/>
        <v>0.11428571428571434</v>
      </c>
      <c r="O207">
        <f t="shared" si="32"/>
        <v>-0.92792792792792811</v>
      </c>
      <c r="Q207">
        <f t="shared" si="33"/>
        <v>7.0213190056920736</v>
      </c>
      <c r="R207">
        <f t="shared" si="34"/>
        <v>7.0213190056920736</v>
      </c>
      <c r="W207">
        <f t="shared" si="38"/>
        <v>0.113</v>
      </c>
      <c r="X207">
        <f t="shared" si="39"/>
        <v>-1099.8485545898207</v>
      </c>
      <c r="Y207">
        <f t="shared" si="35"/>
        <v>340.15144541017935</v>
      </c>
      <c r="AA207">
        <f t="shared" si="36"/>
        <v>366.95525541017929</v>
      </c>
      <c r="AB207">
        <f t="shared" si="37"/>
        <v>6.9552554101792907</v>
      </c>
    </row>
    <row r="208" spans="1:28" x14ac:dyDescent="0.25">
      <c r="A208">
        <v>54360</v>
      </c>
      <c r="B208">
        <v>72.489999999999995</v>
      </c>
      <c r="C208">
        <v>-9.6</v>
      </c>
      <c r="D208">
        <v>-27.75</v>
      </c>
      <c r="E208">
        <v>173.8</v>
      </c>
      <c r="F208">
        <v>2</v>
      </c>
      <c r="G208">
        <v>7</v>
      </c>
      <c r="H208">
        <v>48</v>
      </c>
      <c r="I208">
        <v>2</v>
      </c>
      <c r="L208">
        <f t="shared" si="30"/>
        <v>23.446000000000002</v>
      </c>
      <c r="N208">
        <f t="shared" si="31"/>
        <v>2.857142857142864E-2</v>
      </c>
      <c r="O208">
        <f t="shared" si="32"/>
        <v>-0.98198198198198217</v>
      </c>
      <c r="Q208">
        <f t="shared" si="33"/>
        <v>1.6665891955206069</v>
      </c>
      <c r="R208">
        <f t="shared" si="34"/>
        <v>1.6665891955206069</v>
      </c>
      <c r="W208">
        <f t="shared" si="38"/>
        <v>0.114</v>
      </c>
      <c r="X208">
        <f t="shared" si="39"/>
        <v>-1108.1124145898207</v>
      </c>
      <c r="Y208">
        <f t="shared" si="35"/>
        <v>331.88758541017933</v>
      </c>
      <c r="AA208">
        <f t="shared" si="36"/>
        <v>369.78525541017927</v>
      </c>
      <c r="AB208">
        <f t="shared" si="37"/>
        <v>9.7852554101792748</v>
      </c>
    </row>
    <row r="209" spans="1:28" x14ac:dyDescent="0.25">
      <c r="A209">
        <v>54475</v>
      </c>
      <c r="B209">
        <v>70.180000000000007</v>
      </c>
      <c r="C209">
        <v>-12.75</v>
      </c>
      <c r="D209">
        <v>-25.95</v>
      </c>
      <c r="E209">
        <v>171.57</v>
      </c>
      <c r="F209">
        <v>2</v>
      </c>
      <c r="G209">
        <v>8</v>
      </c>
      <c r="H209">
        <v>29</v>
      </c>
      <c r="I209">
        <v>4</v>
      </c>
      <c r="L209">
        <f t="shared" si="30"/>
        <v>23.561</v>
      </c>
      <c r="N209">
        <f t="shared" si="31"/>
        <v>-0.17142857142857137</v>
      </c>
      <c r="O209">
        <f t="shared" si="32"/>
        <v>-0.87387387387387383</v>
      </c>
      <c r="Q209">
        <f t="shared" si="33"/>
        <v>-11.098821493078322</v>
      </c>
      <c r="R209">
        <f t="shared" si="34"/>
        <v>348.90117850692167</v>
      </c>
      <c r="W209">
        <f t="shared" si="38"/>
        <v>0.115</v>
      </c>
      <c r="X209">
        <f t="shared" si="39"/>
        <v>-1116.1831145898207</v>
      </c>
      <c r="Y209">
        <f t="shared" si="35"/>
        <v>323.81688541017934</v>
      </c>
      <c r="AA209">
        <f t="shared" si="36"/>
        <v>372.01525541017929</v>
      </c>
      <c r="AB209">
        <f t="shared" si="37"/>
        <v>12.015255410179293</v>
      </c>
    </row>
    <row r="210" spans="1:28" x14ac:dyDescent="0.25">
      <c r="A210">
        <v>54590</v>
      </c>
      <c r="B210">
        <v>71.150000000000006</v>
      </c>
      <c r="C210">
        <v>-14.7</v>
      </c>
      <c r="D210">
        <v>-26.1</v>
      </c>
      <c r="E210">
        <v>213.69</v>
      </c>
      <c r="F210">
        <v>2</v>
      </c>
      <c r="G210">
        <v>8</v>
      </c>
      <c r="H210">
        <v>14</v>
      </c>
      <c r="I210">
        <v>16</v>
      </c>
      <c r="L210">
        <f t="shared" si="30"/>
        <v>23.675999999999998</v>
      </c>
      <c r="N210">
        <f t="shared" si="31"/>
        <v>-0.29523809523809513</v>
      </c>
      <c r="O210">
        <f t="shared" si="32"/>
        <v>-0.88288288288288297</v>
      </c>
      <c r="Q210">
        <f t="shared" si="33"/>
        <v>-18.490055352633217</v>
      </c>
      <c r="R210">
        <f t="shared" si="34"/>
        <v>341.50994464736681</v>
      </c>
      <c r="W210">
        <f t="shared" si="38"/>
        <v>0.115</v>
      </c>
      <c r="X210">
        <f t="shared" si="39"/>
        <v>-1124.3653645898207</v>
      </c>
      <c r="Y210">
        <f t="shared" si="35"/>
        <v>315.63463541017927</v>
      </c>
      <c r="AA210">
        <f t="shared" si="36"/>
        <v>329.89525541017929</v>
      </c>
      <c r="AB210">
        <f t="shared" si="37"/>
        <v>329.89525541017929</v>
      </c>
    </row>
    <row r="211" spans="1:28" x14ac:dyDescent="0.25">
      <c r="A211">
        <v>54707</v>
      </c>
      <c r="B211">
        <v>71.72</v>
      </c>
      <c r="C211">
        <v>-17.25</v>
      </c>
      <c r="D211">
        <v>-24.6</v>
      </c>
      <c r="E211">
        <v>120.96</v>
      </c>
      <c r="F211">
        <v>2</v>
      </c>
      <c r="G211">
        <v>7</v>
      </c>
      <c r="H211">
        <v>5</v>
      </c>
      <c r="I211">
        <v>2</v>
      </c>
      <c r="L211">
        <f t="shared" si="30"/>
        <v>23.792999999999999</v>
      </c>
      <c r="N211">
        <f t="shared" si="31"/>
        <v>-0.45714285714285707</v>
      </c>
      <c r="O211">
        <f t="shared" si="32"/>
        <v>-0.79279279279279291</v>
      </c>
      <c r="Q211">
        <f t="shared" si="33"/>
        <v>-29.968754261230021</v>
      </c>
      <c r="R211">
        <f t="shared" si="34"/>
        <v>330.03124573877</v>
      </c>
      <c r="W211">
        <f t="shared" si="38"/>
        <v>0.11700000000000001</v>
      </c>
      <c r="X211">
        <f t="shared" si="39"/>
        <v>-1132.7566045898207</v>
      </c>
      <c r="Y211">
        <f t="shared" si="35"/>
        <v>307.24339541017935</v>
      </c>
      <c r="AA211">
        <f t="shared" si="36"/>
        <v>422.62525541017931</v>
      </c>
      <c r="AB211">
        <f t="shared" si="37"/>
        <v>62.625255410179307</v>
      </c>
    </row>
    <row r="212" spans="1:28" x14ac:dyDescent="0.25">
      <c r="A212">
        <v>54822</v>
      </c>
      <c r="B212">
        <v>70.09</v>
      </c>
      <c r="C212">
        <v>-17.850000000000001</v>
      </c>
      <c r="D212">
        <v>-23.1</v>
      </c>
      <c r="E212">
        <v>267.39999999999998</v>
      </c>
      <c r="F212">
        <v>2</v>
      </c>
      <c r="G212">
        <v>6</v>
      </c>
      <c r="H212">
        <v>4</v>
      </c>
      <c r="I212">
        <v>50</v>
      </c>
      <c r="L212">
        <f t="shared" si="30"/>
        <v>23.908000000000001</v>
      </c>
      <c r="N212">
        <f t="shared" si="31"/>
        <v>-0.49523809523809531</v>
      </c>
      <c r="O212">
        <f t="shared" si="32"/>
        <v>-0.70270270270270285</v>
      </c>
      <c r="Q212">
        <f t="shared" si="33"/>
        <v>-35.174722957851543</v>
      </c>
      <c r="R212">
        <f t="shared" si="34"/>
        <v>324.82527704214846</v>
      </c>
      <c r="W212">
        <f t="shared" si="38"/>
        <v>0.115</v>
      </c>
      <c r="X212">
        <f t="shared" si="39"/>
        <v>-1140.8169545898206</v>
      </c>
      <c r="Y212">
        <f t="shared" si="35"/>
        <v>299.18304541017937</v>
      </c>
      <c r="AA212">
        <f t="shared" si="36"/>
        <v>276.18525541017931</v>
      </c>
      <c r="AB212">
        <f t="shared" si="37"/>
        <v>276.18525541017931</v>
      </c>
    </row>
    <row r="213" spans="1:28" x14ac:dyDescent="0.25">
      <c r="A213">
        <v>54937</v>
      </c>
      <c r="B213">
        <v>71.02</v>
      </c>
      <c r="C213">
        <v>-19.95</v>
      </c>
      <c r="D213">
        <v>-22.65</v>
      </c>
      <c r="E213">
        <v>268.08999999999997</v>
      </c>
      <c r="F213">
        <v>2</v>
      </c>
      <c r="G213">
        <v>5</v>
      </c>
      <c r="H213">
        <v>4</v>
      </c>
      <c r="I213">
        <v>65</v>
      </c>
      <c r="L213">
        <f t="shared" si="30"/>
        <v>24.023</v>
      </c>
      <c r="N213">
        <f t="shared" si="31"/>
        <v>-0.62857142857142845</v>
      </c>
      <c r="O213">
        <f t="shared" si="32"/>
        <v>-0.67567567567567566</v>
      </c>
      <c r="Q213">
        <f t="shared" si="33"/>
        <v>-42.931602054218217</v>
      </c>
      <c r="R213">
        <f t="shared" si="34"/>
        <v>317.06839794578178</v>
      </c>
      <c r="W213">
        <f t="shared" si="38"/>
        <v>0.115</v>
      </c>
      <c r="X213">
        <f t="shared" si="39"/>
        <v>-1148.9842545898207</v>
      </c>
      <c r="Y213">
        <f t="shared" si="35"/>
        <v>291.01574541017931</v>
      </c>
      <c r="AA213">
        <f t="shared" si="36"/>
        <v>275.49525541017931</v>
      </c>
      <c r="AB213">
        <f t="shared" si="37"/>
        <v>275.49525541017931</v>
      </c>
    </row>
    <row r="214" spans="1:28" x14ac:dyDescent="0.25">
      <c r="A214">
        <v>55053</v>
      </c>
      <c r="B214">
        <v>71.459999999999994</v>
      </c>
      <c r="C214">
        <v>-21</v>
      </c>
      <c r="D214">
        <v>-20.399999999999999</v>
      </c>
      <c r="E214">
        <v>268.33999999999997</v>
      </c>
      <c r="F214">
        <v>2</v>
      </c>
      <c r="G214">
        <v>4</v>
      </c>
      <c r="H214">
        <v>4</v>
      </c>
      <c r="I214">
        <v>73</v>
      </c>
      <c r="L214">
        <f t="shared" si="30"/>
        <v>24.138999999999999</v>
      </c>
      <c r="N214">
        <f t="shared" si="31"/>
        <v>-0.69523809523809521</v>
      </c>
      <c r="O214">
        <f t="shared" si="32"/>
        <v>-0.54054054054054046</v>
      </c>
      <c r="Q214">
        <f t="shared" si="33"/>
        <v>-52.13529783400233</v>
      </c>
      <c r="R214">
        <f t="shared" si="34"/>
        <v>307.86470216599764</v>
      </c>
      <c r="W214">
        <f t="shared" si="38"/>
        <v>0.11600000000000001</v>
      </c>
      <c r="X214">
        <f t="shared" si="39"/>
        <v>-1157.2736145898207</v>
      </c>
      <c r="Y214">
        <f t="shared" si="35"/>
        <v>282.72638541017932</v>
      </c>
      <c r="AA214">
        <f t="shared" si="36"/>
        <v>275.24525541017931</v>
      </c>
      <c r="AB214">
        <f t="shared" si="37"/>
        <v>275.24525541017931</v>
      </c>
    </row>
    <row r="215" spans="1:28" x14ac:dyDescent="0.25">
      <c r="A215">
        <v>55168</v>
      </c>
      <c r="B215">
        <v>70.91</v>
      </c>
      <c r="C215">
        <v>-23.4</v>
      </c>
      <c r="D215">
        <v>-18.149999999999999</v>
      </c>
      <c r="E215">
        <v>267.77</v>
      </c>
      <c r="F215">
        <v>2</v>
      </c>
      <c r="G215">
        <v>3</v>
      </c>
      <c r="H215">
        <v>5</v>
      </c>
      <c r="I215">
        <v>80</v>
      </c>
      <c r="L215">
        <f t="shared" si="30"/>
        <v>24.254000000000001</v>
      </c>
      <c r="N215">
        <f t="shared" si="31"/>
        <v>-0.84761904761904749</v>
      </c>
      <c r="O215">
        <f t="shared" si="32"/>
        <v>-0.40540540540540532</v>
      </c>
      <c r="Q215">
        <f t="shared" si="33"/>
        <v>-64.438803508234997</v>
      </c>
      <c r="R215">
        <f t="shared" si="34"/>
        <v>295.56119649176503</v>
      </c>
      <c r="W215">
        <f t="shared" si="38"/>
        <v>0.115</v>
      </c>
      <c r="X215">
        <f t="shared" si="39"/>
        <v>-1165.4282645898206</v>
      </c>
      <c r="Y215">
        <f t="shared" si="35"/>
        <v>274.57173541017937</v>
      </c>
      <c r="AA215">
        <f t="shared" si="36"/>
        <v>275.8152554101793</v>
      </c>
      <c r="AB215">
        <f t="shared" si="37"/>
        <v>275.8152554101793</v>
      </c>
    </row>
    <row r="216" spans="1:28" x14ac:dyDescent="0.25">
      <c r="A216">
        <v>55284</v>
      </c>
      <c r="B216">
        <v>71.39</v>
      </c>
      <c r="C216">
        <v>-21.45</v>
      </c>
      <c r="D216">
        <v>-16.95</v>
      </c>
      <c r="E216">
        <v>267.17</v>
      </c>
      <c r="F216">
        <v>2</v>
      </c>
      <c r="G216">
        <v>2</v>
      </c>
      <c r="H216">
        <v>6</v>
      </c>
      <c r="I216">
        <v>83</v>
      </c>
      <c r="L216">
        <f t="shared" si="30"/>
        <v>24.37</v>
      </c>
      <c r="N216">
        <f t="shared" si="31"/>
        <v>-0.72380952380952368</v>
      </c>
      <c r="O216">
        <f t="shared" si="32"/>
        <v>-0.33333333333333331</v>
      </c>
      <c r="Q216">
        <f t="shared" si="33"/>
        <v>-65.272685613309861</v>
      </c>
      <c r="R216">
        <f t="shared" si="34"/>
        <v>294.72731438669013</v>
      </c>
      <c r="W216">
        <f t="shared" si="38"/>
        <v>0.11600000000000001</v>
      </c>
      <c r="X216">
        <f t="shared" si="39"/>
        <v>-1173.7095045898207</v>
      </c>
      <c r="Y216">
        <f t="shared" si="35"/>
        <v>266.29049541017935</v>
      </c>
      <c r="AA216">
        <f t="shared" si="36"/>
        <v>276.41525541017927</v>
      </c>
      <c r="AB216">
        <f t="shared" si="37"/>
        <v>276.41525541017927</v>
      </c>
    </row>
    <row r="217" spans="1:28" x14ac:dyDescent="0.25">
      <c r="A217">
        <v>55400</v>
      </c>
      <c r="B217">
        <v>70.23</v>
      </c>
      <c r="C217">
        <v>-24.15</v>
      </c>
      <c r="D217">
        <v>-14.85</v>
      </c>
      <c r="E217">
        <v>266.19</v>
      </c>
      <c r="F217">
        <v>1</v>
      </c>
      <c r="G217">
        <v>2</v>
      </c>
      <c r="H217">
        <v>6</v>
      </c>
      <c r="I217">
        <v>77</v>
      </c>
      <c r="L217">
        <f t="shared" si="30"/>
        <v>24.486000000000001</v>
      </c>
      <c r="N217">
        <f t="shared" si="31"/>
        <v>-0.89523809523809506</v>
      </c>
      <c r="O217">
        <f t="shared" si="32"/>
        <v>-0.20720720720720717</v>
      </c>
      <c r="Q217">
        <f t="shared" si="33"/>
        <v>-76.968091454863881</v>
      </c>
      <c r="R217">
        <f t="shared" si="34"/>
        <v>283.0319085451361</v>
      </c>
      <c r="W217">
        <f t="shared" si="38"/>
        <v>0.11600000000000001</v>
      </c>
      <c r="X217">
        <f t="shared" si="39"/>
        <v>-1181.8561845898207</v>
      </c>
      <c r="Y217">
        <f t="shared" si="35"/>
        <v>258.14381541017929</v>
      </c>
      <c r="AA217">
        <f t="shared" si="36"/>
        <v>277.39525541017929</v>
      </c>
      <c r="AB217">
        <f t="shared" si="37"/>
        <v>277.39525541017929</v>
      </c>
    </row>
    <row r="218" spans="1:28" x14ac:dyDescent="0.25">
      <c r="A218">
        <v>55515</v>
      </c>
      <c r="B218">
        <v>75.14</v>
      </c>
      <c r="C218">
        <v>-24.75</v>
      </c>
      <c r="D218">
        <v>-12.6</v>
      </c>
      <c r="E218">
        <v>265.02999999999997</v>
      </c>
      <c r="F218">
        <v>1</v>
      </c>
      <c r="G218">
        <v>1</v>
      </c>
      <c r="H218">
        <v>7</v>
      </c>
      <c r="I218">
        <v>70</v>
      </c>
      <c r="L218">
        <f t="shared" si="30"/>
        <v>24.600999999999999</v>
      </c>
      <c r="N218">
        <f t="shared" si="31"/>
        <v>-0.93333333333333324</v>
      </c>
      <c r="O218">
        <f t="shared" si="32"/>
        <v>-7.207207207207203E-2</v>
      </c>
      <c r="Q218">
        <f t="shared" si="33"/>
        <v>-85.584378265362233</v>
      </c>
      <c r="R218">
        <f t="shared" si="34"/>
        <v>274.41562173463774</v>
      </c>
      <c r="W218">
        <f t="shared" si="38"/>
        <v>0.115</v>
      </c>
      <c r="X218">
        <f t="shared" si="39"/>
        <v>-1190.4972845898208</v>
      </c>
      <c r="Y218">
        <f t="shared" si="35"/>
        <v>249.50271541017923</v>
      </c>
      <c r="AA218">
        <f t="shared" si="36"/>
        <v>278.55525541017931</v>
      </c>
      <c r="AB218">
        <f t="shared" si="37"/>
        <v>278.55525541017931</v>
      </c>
    </row>
    <row r="219" spans="1:28" x14ac:dyDescent="0.25">
      <c r="A219">
        <v>55631</v>
      </c>
      <c r="B219">
        <v>69.45</v>
      </c>
      <c r="C219">
        <v>-22.95</v>
      </c>
      <c r="D219">
        <v>-11.1</v>
      </c>
      <c r="E219">
        <v>264.47000000000003</v>
      </c>
      <c r="F219">
        <v>1</v>
      </c>
      <c r="G219">
        <v>1</v>
      </c>
      <c r="H219">
        <v>7</v>
      </c>
      <c r="I219">
        <v>63</v>
      </c>
      <c r="L219">
        <f t="shared" si="30"/>
        <v>24.716999999999999</v>
      </c>
      <c r="N219">
        <f t="shared" si="31"/>
        <v>-0.81904761904761891</v>
      </c>
      <c r="O219">
        <f t="shared" si="32"/>
        <v>1.8018018018018063E-2</v>
      </c>
      <c r="Q219">
        <f t="shared" si="33"/>
        <v>-91.260231856480516</v>
      </c>
      <c r="R219">
        <f t="shared" si="34"/>
        <v>268.73976814351948</v>
      </c>
      <c r="W219">
        <f t="shared" si="38"/>
        <v>0.11600000000000001</v>
      </c>
      <c r="X219">
        <f t="shared" si="39"/>
        <v>-1198.5534845898208</v>
      </c>
      <c r="Y219">
        <f t="shared" si="35"/>
        <v>241.44651541017925</v>
      </c>
      <c r="AA219">
        <f t="shared" si="36"/>
        <v>279.11525541017926</v>
      </c>
      <c r="AB219">
        <f t="shared" si="37"/>
        <v>279.11525541017926</v>
      </c>
    </row>
    <row r="220" spans="1:28" x14ac:dyDescent="0.25">
      <c r="A220">
        <v>55747</v>
      </c>
      <c r="B220">
        <v>71.56</v>
      </c>
      <c r="C220">
        <v>-24</v>
      </c>
      <c r="D220">
        <v>-8.1</v>
      </c>
      <c r="E220">
        <v>264.51</v>
      </c>
      <c r="F220">
        <v>2</v>
      </c>
      <c r="G220">
        <v>1</v>
      </c>
      <c r="H220">
        <v>7</v>
      </c>
      <c r="I220">
        <v>53</v>
      </c>
      <c r="L220">
        <f t="shared" si="30"/>
        <v>24.832999999999998</v>
      </c>
      <c r="N220">
        <f t="shared" si="31"/>
        <v>-0.88571428571428568</v>
      </c>
      <c r="O220">
        <f t="shared" si="32"/>
        <v>0.19819819819819826</v>
      </c>
      <c r="Q220">
        <f t="shared" si="33"/>
        <v>-102.61340567950026</v>
      </c>
      <c r="R220">
        <f t="shared" si="34"/>
        <v>257.38659432049974</v>
      </c>
      <c r="W220">
        <f t="shared" si="38"/>
        <v>0.11600000000000001</v>
      </c>
      <c r="X220">
        <f t="shared" si="39"/>
        <v>-1206.8544445898208</v>
      </c>
      <c r="Y220">
        <f t="shared" si="35"/>
        <v>233.14555541017921</v>
      </c>
      <c r="AA220">
        <f t="shared" si="36"/>
        <v>279.0752554101793</v>
      </c>
      <c r="AB220">
        <f t="shared" si="37"/>
        <v>279.0752554101793</v>
      </c>
    </row>
    <row r="221" spans="1:28" x14ac:dyDescent="0.25">
      <c r="A221">
        <v>55861</v>
      </c>
      <c r="B221">
        <v>70.2</v>
      </c>
      <c r="C221">
        <v>-23.1</v>
      </c>
      <c r="D221">
        <v>-6.9</v>
      </c>
      <c r="E221">
        <v>264.43</v>
      </c>
      <c r="F221">
        <v>3</v>
      </c>
      <c r="G221">
        <v>1</v>
      </c>
      <c r="H221">
        <v>7</v>
      </c>
      <c r="I221">
        <v>42</v>
      </c>
      <c r="L221">
        <f t="shared" si="30"/>
        <v>24.946999999999999</v>
      </c>
      <c r="N221">
        <f t="shared" si="31"/>
        <v>-0.82857142857142863</v>
      </c>
      <c r="O221">
        <f t="shared" si="32"/>
        <v>0.27027027027027029</v>
      </c>
      <c r="Q221">
        <f t="shared" si="33"/>
        <v>-108.06571803378131</v>
      </c>
      <c r="R221">
        <f t="shared" si="34"/>
        <v>251.93428196621869</v>
      </c>
      <c r="W221">
        <f t="shared" si="38"/>
        <v>0.114</v>
      </c>
      <c r="X221">
        <f t="shared" si="39"/>
        <v>-1214.8572445898208</v>
      </c>
      <c r="Y221">
        <f t="shared" si="35"/>
        <v>225.14275541017923</v>
      </c>
      <c r="AA221">
        <f t="shared" si="36"/>
        <v>279.15525541017928</v>
      </c>
      <c r="AB221">
        <f t="shared" si="37"/>
        <v>279.15525541017928</v>
      </c>
    </row>
    <row r="222" spans="1:28" x14ac:dyDescent="0.25">
      <c r="A222">
        <v>55976</v>
      </c>
      <c r="B222">
        <v>71.150000000000006</v>
      </c>
      <c r="C222">
        <v>-22.35</v>
      </c>
      <c r="D222">
        <v>-3.6</v>
      </c>
      <c r="E222">
        <v>272.12</v>
      </c>
      <c r="F222">
        <v>8</v>
      </c>
      <c r="G222">
        <v>1</v>
      </c>
      <c r="H222">
        <v>7</v>
      </c>
      <c r="I222">
        <v>28</v>
      </c>
      <c r="L222">
        <f t="shared" si="30"/>
        <v>25.062000000000001</v>
      </c>
      <c r="N222">
        <f t="shared" si="31"/>
        <v>-0.78095238095238095</v>
      </c>
      <c r="O222">
        <f t="shared" si="32"/>
        <v>0.46846846846846857</v>
      </c>
      <c r="Q222">
        <f t="shared" si="33"/>
        <v>-120.9582019242855</v>
      </c>
      <c r="R222">
        <f t="shared" si="34"/>
        <v>239.0417980757145</v>
      </c>
      <c r="W222">
        <f t="shared" si="38"/>
        <v>0.115</v>
      </c>
      <c r="X222">
        <f t="shared" si="39"/>
        <v>-1223.0394945898208</v>
      </c>
      <c r="Y222">
        <f t="shared" si="35"/>
        <v>216.96050541017917</v>
      </c>
      <c r="AA222">
        <f t="shared" si="36"/>
        <v>271.46525541017928</v>
      </c>
      <c r="AB222">
        <f t="shared" si="37"/>
        <v>271.46525541017928</v>
      </c>
    </row>
    <row r="223" spans="1:28" x14ac:dyDescent="0.25">
      <c r="A223">
        <v>56090</v>
      </c>
      <c r="B223">
        <v>70.8</v>
      </c>
      <c r="C223">
        <v>-22.35</v>
      </c>
      <c r="D223">
        <v>-2.5499999999999998</v>
      </c>
      <c r="E223">
        <v>326.31</v>
      </c>
      <c r="F223">
        <v>28</v>
      </c>
      <c r="G223">
        <v>2</v>
      </c>
      <c r="H223">
        <v>7</v>
      </c>
      <c r="I223">
        <v>16</v>
      </c>
      <c r="L223">
        <f t="shared" si="30"/>
        <v>25.175999999999998</v>
      </c>
      <c r="N223">
        <f t="shared" si="31"/>
        <v>-0.78095238095238095</v>
      </c>
      <c r="O223">
        <f t="shared" si="32"/>
        <v>0.53153153153153165</v>
      </c>
      <c r="Q223">
        <f t="shared" si="33"/>
        <v>-124.23997234537103</v>
      </c>
      <c r="R223">
        <f t="shared" si="34"/>
        <v>235.76002765462897</v>
      </c>
      <c r="W223">
        <f t="shared" si="38"/>
        <v>0.114</v>
      </c>
      <c r="X223">
        <f t="shared" si="39"/>
        <v>-1231.1106945898209</v>
      </c>
      <c r="Y223">
        <f t="shared" si="35"/>
        <v>208.88930541017908</v>
      </c>
      <c r="AA223">
        <f t="shared" si="36"/>
        <v>217.27525541017928</v>
      </c>
      <c r="AB223">
        <f t="shared" si="37"/>
        <v>217.27525541017928</v>
      </c>
    </row>
    <row r="224" spans="1:28" x14ac:dyDescent="0.25">
      <c r="A224">
        <v>56206</v>
      </c>
      <c r="B224">
        <v>70.12</v>
      </c>
      <c r="C224">
        <v>-19.649999999999999</v>
      </c>
      <c r="D224">
        <v>0.45</v>
      </c>
      <c r="E224">
        <v>353.77</v>
      </c>
      <c r="F224">
        <v>59</v>
      </c>
      <c r="G224">
        <v>2</v>
      </c>
      <c r="H224">
        <v>4</v>
      </c>
      <c r="I224">
        <v>8</v>
      </c>
      <c r="L224">
        <f t="shared" si="30"/>
        <v>25.292000000000002</v>
      </c>
      <c r="N224">
        <f t="shared" si="31"/>
        <v>-0.60952380952380936</v>
      </c>
      <c r="O224">
        <f t="shared" si="32"/>
        <v>0.71171171171171177</v>
      </c>
      <c r="Q224">
        <f t="shared" si="33"/>
        <v>-139.42260491304043</v>
      </c>
      <c r="R224">
        <f t="shared" si="34"/>
        <v>220.57739508695957</v>
      </c>
      <c r="W224">
        <f t="shared" si="38"/>
        <v>0.11600000000000001</v>
      </c>
      <c r="X224">
        <f t="shared" si="39"/>
        <v>-1239.2446145898209</v>
      </c>
      <c r="Y224">
        <f t="shared" si="35"/>
        <v>200.75538541017909</v>
      </c>
      <c r="AA224">
        <f t="shared" si="36"/>
        <v>189.8152554101793</v>
      </c>
      <c r="AB224">
        <f t="shared" si="37"/>
        <v>189.8152554101793</v>
      </c>
    </row>
    <row r="225" spans="1:28" x14ac:dyDescent="0.25">
      <c r="A225">
        <v>56320</v>
      </c>
      <c r="B225">
        <v>68.87</v>
      </c>
      <c r="C225">
        <v>-18.149999999999999</v>
      </c>
      <c r="D225">
        <v>1.05</v>
      </c>
      <c r="E225">
        <v>358.17</v>
      </c>
      <c r="F225">
        <v>99</v>
      </c>
      <c r="G225">
        <v>1</v>
      </c>
      <c r="H225">
        <v>5</v>
      </c>
      <c r="I225">
        <v>4</v>
      </c>
      <c r="L225">
        <f t="shared" si="30"/>
        <v>25.405999999999999</v>
      </c>
      <c r="N225">
        <f t="shared" si="31"/>
        <v>-0.51428571428571412</v>
      </c>
      <c r="O225">
        <f t="shared" si="32"/>
        <v>0.74774774774774788</v>
      </c>
      <c r="Q225">
        <f t="shared" si="33"/>
        <v>-145.48059668972917</v>
      </c>
      <c r="R225">
        <f t="shared" si="34"/>
        <v>214.51940331027083</v>
      </c>
      <c r="W225">
        <f t="shared" si="38"/>
        <v>0.114</v>
      </c>
      <c r="X225">
        <f t="shared" si="39"/>
        <v>-1247.095794589821</v>
      </c>
      <c r="Y225">
        <f t="shared" si="35"/>
        <v>192.90420541017897</v>
      </c>
      <c r="AA225">
        <f t="shared" si="36"/>
        <v>185.41525541017927</v>
      </c>
      <c r="AB225">
        <f t="shared" si="37"/>
        <v>185.41525541017927</v>
      </c>
    </row>
    <row r="226" spans="1:28" x14ac:dyDescent="0.25">
      <c r="A226">
        <v>56433</v>
      </c>
      <c r="B226">
        <v>73.09</v>
      </c>
      <c r="C226">
        <v>-16.5</v>
      </c>
      <c r="D226">
        <v>3</v>
      </c>
      <c r="E226">
        <v>358.21</v>
      </c>
      <c r="F226">
        <v>132</v>
      </c>
      <c r="G226">
        <v>0</v>
      </c>
      <c r="H226">
        <v>4</v>
      </c>
      <c r="I226">
        <v>4</v>
      </c>
      <c r="L226">
        <f t="shared" si="30"/>
        <v>25.518999999999998</v>
      </c>
      <c r="N226">
        <f t="shared" si="31"/>
        <v>-0.40952380952380946</v>
      </c>
      <c r="O226">
        <f t="shared" si="32"/>
        <v>0.86486486486486491</v>
      </c>
      <c r="Q226">
        <f t="shared" si="33"/>
        <v>-154.66188779441742</v>
      </c>
      <c r="R226">
        <f t="shared" si="34"/>
        <v>205.33811220558258</v>
      </c>
      <c r="W226">
        <f t="shared" si="38"/>
        <v>0.113</v>
      </c>
      <c r="X226">
        <f t="shared" si="39"/>
        <v>-1255.3549645898211</v>
      </c>
      <c r="Y226">
        <f t="shared" si="35"/>
        <v>184.64503541017893</v>
      </c>
      <c r="AA226">
        <f t="shared" si="36"/>
        <v>185.37525541017931</v>
      </c>
      <c r="AB226">
        <f t="shared" si="37"/>
        <v>185.37525541017931</v>
      </c>
    </row>
    <row r="227" spans="1:28" x14ac:dyDescent="0.25">
      <c r="A227">
        <v>56548</v>
      </c>
      <c r="B227">
        <v>70.849999999999994</v>
      </c>
      <c r="C227">
        <v>-14.4</v>
      </c>
      <c r="D227">
        <v>3.75</v>
      </c>
      <c r="E227">
        <v>358.53</v>
      </c>
      <c r="F227">
        <v>159</v>
      </c>
      <c r="G227">
        <v>1</v>
      </c>
      <c r="H227">
        <v>3</v>
      </c>
      <c r="I227">
        <v>5</v>
      </c>
      <c r="L227">
        <f t="shared" si="30"/>
        <v>25.634</v>
      </c>
      <c r="N227">
        <f t="shared" si="31"/>
        <v>-0.27619047619047615</v>
      </c>
      <c r="O227">
        <f t="shared" si="32"/>
        <v>0.90990990990991005</v>
      </c>
      <c r="Q227">
        <f t="shared" si="33"/>
        <v>-163.11506395746841</v>
      </c>
      <c r="R227">
        <f t="shared" si="34"/>
        <v>196.88493604253159</v>
      </c>
      <c r="W227">
        <f t="shared" si="38"/>
        <v>0.115</v>
      </c>
      <c r="X227">
        <f t="shared" si="39"/>
        <v>-1263.5027145898212</v>
      </c>
      <c r="Y227">
        <f t="shared" si="35"/>
        <v>176.49728541017885</v>
      </c>
      <c r="AA227">
        <f t="shared" si="36"/>
        <v>185.05525541017931</v>
      </c>
      <c r="AB227">
        <f t="shared" si="37"/>
        <v>185.05525541017931</v>
      </c>
    </row>
    <row r="228" spans="1:28" x14ac:dyDescent="0.25">
      <c r="A228">
        <v>56662</v>
      </c>
      <c r="B228">
        <v>69.98</v>
      </c>
      <c r="C228">
        <v>-13.35</v>
      </c>
      <c r="D228">
        <v>3.45</v>
      </c>
      <c r="E228">
        <v>358.95</v>
      </c>
      <c r="F228">
        <v>167</v>
      </c>
      <c r="G228">
        <v>2</v>
      </c>
      <c r="H228">
        <v>3</v>
      </c>
      <c r="I228">
        <v>5</v>
      </c>
      <c r="L228">
        <f t="shared" si="30"/>
        <v>25.748000000000001</v>
      </c>
      <c r="N228">
        <f t="shared" si="31"/>
        <v>-0.20952380952380945</v>
      </c>
      <c r="O228">
        <f t="shared" si="32"/>
        <v>0.89189189189189211</v>
      </c>
      <c r="Q228">
        <f t="shared" si="33"/>
        <v>-166.77975818678445</v>
      </c>
      <c r="R228">
        <f t="shared" si="34"/>
        <v>193.22024181321555</v>
      </c>
      <c r="W228">
        <f t="shared" si="38"/>
        <v>0.114</v>
      </c>
      <c r="X228">
        <f t="shared" si="39"/>
        <v>-1271.4804345898212</v>
      </c>
      <c r="Y228">
        <f t="shared" si="35"/>
        <v>168.51956541017876</v>
      </c>
      <c r="AA228">
        <f t="shared" si="36"/>
        <v>184.6352554101793</v>
      </c>
      <c r="AB228">
        <f t="shared" si="37"/>
        <v>184.6352554101793</v>
      </c>
    </row>
    <row r="229" spans="1:28" x14ac:dyDescent="0.25">
      <c r="A229">
        <v>56777</v>
      </c>
      <c r="B229">
        <v>69.260000000000005</v>
      </c>
      <c r="C229">
        <v>-9</v>
      </c>
      <c r="D229">
        <v>3</v>
      </c>
      <c r="E229">
        <v>358.82</v>
      </c>
      <c r="F229">
        <v>148</v>
      </c>
      <c r="G229">
        <v>2</v>
      </c>
      <c r="H229">
        <v>2</v>
      </c>
      <c r="I229">
        <v>5</v>
      </c>
      <c r="L229">
        <f t="shared" si="30"/>
        <v>25.863</v>
      </c>
      <c r="N229">
        <f t="shared" si="31"/>
        <v>6.6666666666666707E-2</v>
      </c>
      <c r="O229">
        <f t="shared" si="32"/>
        <v>0.86486486486486491</v>
      </c>
      <c r="Q229">
        <f t="shared" si="33"/>
        <v>175.59216675285404</v>
      </c>
      <c r="R229">
        <f t="shared" si="34"/>
        <v>175.59216675285404</v>
      </c>
      <c r="W229">
        <f t="shared" si="38"/>
        <v>0.115</v>
      </c>
      <c r="X229">
        <f t="shared" si="39"/>
        <v>-1279.4453345898212</v>
      </c>
      <c r="Y229">
        <f t="shared" si="35"/>
        <v>160.55466541017881</v>
      </c>
      <c r="AA229">
        <f t="shared" si="36"/>
        <v>184.76525541017929</v>
      </c>
      <c r="AB229">
        <f t="shared" si="37"/>
        <v>184.76525541017929</v>
      </c>
    </row>
    <row r="230" spans="1:28" x14ac:dyDescent="0.25">
      <c r="A230">
        <v>56890</v>
      </c>
      <c r="B230">
        <v>23.23</v>
      </c>
      <c r="C230">
        <v>-7.95</v>
      </c>
      <c r="D230">
        <v>1.95</v>
      </c>
      <c r="E230">
        <v>358.22</v>
      </c>
      <c r="F230">
        <v>132</v>
      </c>
      <c r="G230">
        <v>1</v>
      </c>
      <c r="H230">
        <v>3</v>
      </c>
      <c r="I230">
        <v>5</v>
      </c>
      <c r="L230">
        <f t="shared" si="30"/>
        <v>25.975999999999999</v>
      </c>
      <c r="N230">
        <f t="shared" si="31"/>
        <v>0.13333333333333336</v>
      </c>
      <c r="O230">
        <f t="shared" si="32"/>
        <v>0.80180180180180183</v>
      </c>
      <c r="Q230">
        <f t="shared" si="33"/>
        <v>170.55855817716991</v>
      </c>
      <c r="R230">
        <f t="shared" si="34"/>
        <v>170.55855817716991</v>
      </c>
      <c r="W230">
        <f t="shared" si="38"/>
        <v>0.113</v>
      </c>
      <c r="X230">
        <f t="shared" si="39"/>
        <v>-1282.0703245898212</v>
      </c>
      <c r="Y230">
        <f t="shared" si="35"/>
        <v>157.92967541017879</v>
      </c>
      <c r="AA230">
        <f t="shared" si="36"/>
        <v>185.36525541017926</v>
      </c>
      <c r="AB230">
        <f t="shared" si="37"/>
        <v>185.36525541017926</v>
      </c>
    </row>
    <row r="231" spans="1:28" x14ac:dyDescent="0.25">
      <c r="A231">
        <v>57004</v>
      </c>
      <c r="B231">
        <v>7.89</v>
      </c>
      <c r="C231">
        <v>-7.65</v>
      </c>
      <c r="D231">
        <v>4.2</v>
      </c>
      <c r="E231">
        <v>357.88</v>
      </c>
      <c r="F231">
        <v>111</v>
      </c>
      <c r="G231">
        <v>1</v>
      </c>
      <c r="H231">
        <v>3</v>
      </c>
      <c r="I231">
        <v>5</v>
      </c>
      <c r="L231">
        <f t="shared" si="30"/>
        <v>26.09</v>
      </c>
      <c r="N231">
        <f t="shared" si="31"/>
        <v>0.15238095238095239</v>
      </c>
      <c r="O231">
        <f t="shared" si="32"/>
        <v>0.93693693693693714</v>
      </c>
      <c r="Q231">
        <f t="shared" si="33"/>
        <v>170.76244610208207</v>
      </c>
      <c r="R231">
        <f t="shared" si="34"/>
        <v>170.76244610208207</v>
      </c>
      <c r="W231">
        <f t="shared" si="38"/>
        <v>0.114</v>
      </c>
      <c r="X231">
        <f t="shared" si="39"/>
        <v>-1282.9697845898213</v>
      </c>
      <c r="Y231">
        <f t="shared" si="35"/>
        <v>157.0302154101787</v>
      </c>
      <c r="AA231">
        <f t="shared" si="36"/>
        <v>185.70525541017929</v>
      </c>
      <c r="AB231">
        <f t="shared" si="37"/>
        <v>185.70525541017929</v>
      </c>
    </row>
    <row r="232" spans="1:28" x14ac:dyDescent="0.25">
      <c r="A232">
        <v>57116</v>
      </c>
      <c r="B232">
        <v>8.67</v>
      </c>
      <c r="C232">
        <v>-6.15</v>
      </c>
      <c r="D232">
        <v>3.45</v>
      </c>
      <c r="E232">
        <v>357.59</v>
      </c>
      <c r="F232">
        <v>98</v>
      </c>
      <c r="G232">
        <v>1</v>
      </c>
      <c r="H232">
        <v>3</v>
      </c>
      <c r="I232">
        <v>5</v>
      </c>
      <c r="L232">
        <f t="shared" si="30"/>
        <v>26.202000000000002</v>
      </c>
      <c r="N232">
        <f t="shared" si="31"/>
        <v>0.24761904761904766</v>
      </c>
      <c r="O232">
        <f t="shared" si="32"/>
        <v>0.89189189189189211</v>
      </c>
      <c r="Q232">
        <f t="shared" si="33"/>
        <v>164.48356482957104</v>
      </c>
      <c r="R232">
        <f t="shared" si="34"/>
        <v>164.48356482957104</v>
      </c>
      <c r="W232">
        <f t="shared" si="38"/>
        <v>0.112</v>
      </c>
      <c r="X232">
        <f t="shared" si="39"/>
        <v>-1283.9408245898212</v>
      </c>
      <c r="Y232">
        <f t="shared" si="35"/>
        <v>156.0591754101788</v>
      </c>
      <c r="AA232">
        <f t="shared" si="36"/>
        <v>185.99525541017931</v>
      </c>
      <c r="AB232">
        <f t="shared" si="37"/>
        <v>185.99525541017931</v>
      </c>
    </row>
    <row r="233" spans="1:28" x14ac:dyDescent="0.25">
      <c r="A233">
        <v>57228</v>
      </c>
      <c r="B233">
        <v>7.79</v>
      </c>
      <c r="C233">
        <v>-6.3</v>
      </c>
      <c r="D233">
        <v>3.6</v>
      </c>
      <c r="E233">
        <v>356.71</v>
      </c>
      <c r="F233">
        <v>90</v>
      </c>
      <c r="G233">
        <v>1</v>
      </c>
      <c r="H233">
        <v>3</v>
      </c>
      <c r="I233">
        <v>6</v>
      </c>
      <c r="L233">
        <f t="shared" si="30"/>
        <v>26.314</v>
      </c>
      <c r="N233">
        <f t="shared" si="31"/>
        <v>0.23809523809523817</v>
      </c>
      <c r="O233">
        <f t="shared" si="32"/>
        <v>0.90090090090090102</v>
      </c>
      <c r="Q233">
        <f t="shared" si="33"/>
        <v>165.19601984372949</v>
      </c>
      <c r="R233">
        <f t="shared" si="34"/>
        <v>165.19601984372949</v>
      </c>
      <c r="W233">
        <f t="shared" si="38"/>
        <v>0.112</v>
      </c>
      <c r="X233">
        <f t="shared" si="39"/>
        <v>-1284.8133045898212</v>
      </c>
      <c r="Y233">
        <f t="shared" si="35"/>
        <v>155.1866954101788</v>
      </c>
      <c r="AA233">
        <f t="shared" si="36"/>
        <v>186.87525541017931</v>
      </c>
      <c r="AB233">
        <f t="shared" si="37"/>
        <v>186.87525541017931</v>
      </c>
    </row>
    <row r="234" spans="1:28" x14ac:dyDescent="0.25">
      <c r="A234">
        <v>57339</v>
      </c>
      <c r="B234">
        <v>-12.24</v>
      </c>
      <c r="C234">
        <v>-6.15</v>
      </c>
      <c r="D234">
        <v>1.5</v>
      </c>
      <c r="E234">
        <v>356.63</v>
      </c>
      <c r="F234">
        <v>88</v>
      </c>
      <c r="G234">
        <v>1</v>
      </c>
      <c r="H234">
        <v>3</v>
      </c>
      <c r="I234">
        <v>6</v>
      </c>
      <c r="L234">
        <f t="shared" si="30"/>
        <v>26.425000000000001</v>
      </c>
      <c r="N234">
        <f t="shared" si="31"/>
        <v>0.24761904761904766</v>
      </c>
      <c r="O234">
        <f t="shared" si="32"/>
        <v>0.77477477477477485</v>
      </c>
      <c r="Q234">
        <f t="shared" si="33"/>
        <v>162.27605117423951</v>
      </c>
      <c r="R234">
        <f t="shared" si="34"/>
        <v>162.27605117423951</v>
      </c>
      <c r="W234">
        <f t="shared" si="38"/>
        <v>0.111</v>
      </c>
      <c r="X234">
        <f t="shared" si="39"/>
        <v>-1283.4546645898213</v>
      </c>
      <c r="Y234">
        <f t="shared" si="35"/>
        <v>156.54533541017872</v>
      </c>
      <c r="AA234">
        <f t="shared" si="36"/>
        <v>186.95525541017929</v>
      </c>
      <c r="AB234">
        <f t="shared" si="37"/>
        <v>186.95525541017929</v>
      </c>
    </row>
    <row r="235" spans="1:28" x14ac:dyDescent="0.25">
      <c r="A235">
        <v>57453</v>
      </c>
      <c r="B235">
        <v>-12.67</v>
      </c>
      <c r="C235">
        <v>-5.85</v>
      </c>
      <c r="D235">
        <v>2.25</v>
      </c>
      <c r="E235">
        <v>357.54</v>
      </c>
      <c r="F235">
        <v>96</v>
      </c>
      <c r="G235">
        <v>1</v>
      </c>
      <c r="H235">
        <v>3</v>
      </c>
      <c r="I235">
        <v>5</v>
      </c>
      <c r="L235">
        <f t="shared" si="30"/>
        <v>26.539000000000001</v>
      </c>
      <c r="N235">
        <f t="shared" si="31"/>
        <v>0.26666666666666672</v>
      </c>
      <c r="O235">
        <f t="shared" si="32"/>
        <v>0.81981981981981988</v>
      </c>
      <c r="Q235">
        <f t="shared" si="33"/>
        <v>161.98160271073985</v>
      </c>
      <c r="R235">
        <f t="shared" si="34"/>
        <v>161.98160271073985</v>
      </c>
      <c r="W235">
        <f t="shared" si="38"/>
        <v>0.114</v>
      </c>
      <c r="X235">
        <f t="shared" si="39"/>
        <v>-1282.0102845898214</v>
      </c>
      <c r="Y235">
        <f t="shared" si="35"/>
        <v>157.98971541017863</v>
      </c>
      <c r="AA235">
        <f t="shared" si="36"/>
        <v>186.04525541017927</v>
      </c>
      <c r="AB235">
        <f t="shared" si="37"/>
        <v>186.04525541017927</v>
      </c>
    </row>
    <row r="236" spans="1:28" x14ac:dyDescent="0.25">
      <c r="A236">
        <v>57566</v>
      </c>
      <c r="B236">
        <v>-22.11</v>
      </c>
      <c r="C236">
        <v>-7.35</v>
      </c>
      <c r="D236">
        <v>3.9</v>
      </c>
      <c r="E236">
        <v>357.82</v>
      </c>
      <c r="F236">
        <v>108</v>
      </c>
      <c r="G236">
        <v>1</v>
      </c>
      <c r="H236">
        <v>3</v>
      </c>
      <c r="I236">
        <v>5</v>
      </c>
      <c r="L236">
        <f t="shared" si="30"/>
        <v>26.652000000000001</v>
      </c>
      <c r="N236">
        <f t="shared" si="31"/>
        <v>0.17142857142857149</v>
      </c>
      <c r="O236">
        <f t="shared" si="32"/>
        <v>0.91891891891891908</v>
      </c>
      <c r="Q236">
        <f t="shared" si="33"/>
        <v>169.43268024319977</v>
      </c>
      <c r="R236">
        <f t="shared" si="34"/>
        <v>169.43268024319977</v>
      </c>
      <c r="W236">
        <f t="shared" si="38"/>
        <v>0.113</v>
      </c>
      <c r="X236">
        <f t="shared" si="39"/>
        <v>-1279.5118545898213</v>
      </c>
      <c r="Y236">
        <f t="shared" si="35"/>
        <v>160.48814541017873</v>
      </c>
      <c r="AA236">
        <f t="shared" si="36"/>
        <v>185.76525541017929</v>
      </c>
      <c r="AB236">
        <f t="shared" si="37"/>
        <v>185.76525541017929</v>
      </c>
    </row>
    <row r="237" spans="1:28" x14ac:dyDescent="0.25">
      <c r="A237">
        <v>57681</v>
      </c>
      <c r="B237">
        <v>-33.450000000000003</v>
      </c>
      <c r="C237">
        <v>-8.25</v>
      </c>
      <c r="D237">
        <v>2.7</v>
      </c>
      <c r="E237">
        <v>358.04</v>
      </c>
      <c r="F237">
        <v>120</v>
      </c>
      <c r="G237">
        <v>1</v>
      </c>
      <c r="H237">
        <v>3</v>
      </c>
      <c r="I237">
        <v>5</v>
      </c>
      <c r="L237">
        <f t="shared" si="30"/>
        <v>26.766999999999999</v>
      </c>
      <c r="N237">
        <f t="shared" si="31"/>
        <v>0.11428571428571434</v>
      </c>
      <c r="O237">
        <f t="shared" si="32"/>
        <v>0.84684684684684697</v>
      </c>
      <c r="Q237">
        <f t="shared" si="33"/>
        <v>172.31411775870993</v>
      </c>
      <c r="R237">
        <f t="shared" si="34"/>
        <v>172.31411775870993</v>
      </c>
      <c r="W237">
        <f t="shared" si="38"/>
        <v>0.115</v>
      </c>
      <c r="X237">
        <f t="shared" si="39"/>
        <v>-1275.6651045898213</v>
      </c>
      <c r="Y237">
        <f t="shared" si="35"/>
        <v>164.33489541017866</v>
      </c>
      <c r="AA237">
        <f t="shared" si="36"/>
        <v>185.54525541017927</v>
      </c>
      <c r="AB237">
        <f t="shared" si="37"/>
        <v>185.54525541017927</v>
      </c>
    </row>
    <row r="238" spans="1:28" x14ac:dyDescent="0.25">
      <c r="A238">
        <v>57796</v>
      </c>
      <c r="B238">
        <v>-33.090000000000003</v>
      </c>
      <c r="C238">
        <v>-10.050000000000001</v>
      </c>
      <c r="D238">
        <v>3.75</v>
      </c>
      <c r="E238">
        <v>358.3</v>
      </c>
      <c r="F238">
        <v>137</v>
      </c>
      <c r="G238">
        <v>2</v>
      </c>
      <c r="H238">
        <v>2</v>
      </c>
      <c r="I238">
        <v>6</v>
      </c>
      <c r="L238">
        <f t="shared" si="30"/>
        <v>26.882000000000001</v>
      </c>
      <c r="N238">
        <f t="shared" si="31"/>
        <v>0</v>
      </c>
      <c r="O238">
        <f t="shared" si="32"/>
        <v>0.90990990990991005</v>
      </c>
      <c r="Q238">
        <f t="shared" si="33"/>
        <v>180</v>
      </c>
      <c r="R238">
        <f t="shared" si="34"/>
        <v>180</v>
      </c>
      <c r="W238">
        <f t="shared" si="38"/>
        <v>0.115</v>
      </c>
      <c r="X238">
        <f t="shared" si="39"/>
        <v>-1271.8597545898213</v>
      </c>
      <c r="Y238">
        <f t="shared" si="35"/>
        <v>168.14024541017875</v>
      </c>
      <c r="AA238">
        <f t="shared" si="36"/>
        <v>185.28525541017927</v>
      </c>
      <c r="AB238">
        <f t="shared" si="37"/>
        <v>185.28525541017927</v>
      </c>
    </row>
    <row r="239" spans="1:28" x14ac:dyDescent="0.25">
      <c r="A239">
        <v>57911</v>
      </c>
      <c r="B239">
        <v>-39.89</v>
      </c>
      <c r="C239">
        <v>-11.1</v>
      </c>
      <c r="D239">
        <v>4.5</v>
      </c>
      <c r="E239">
        <v>358.88</v>
      </c>
      <c r="F239">
        <v>156</v>
      </c>
      <c r="G239">
        <v>2</v>
      </c>
      <c r="H239">
        <v>3</v>
      </c>
      <c r="I239">
        <v>5</v>
      </c>
      <c r="L239">
        <f t="shared" si="30"/>
        <v>26.997</v>
      </c>
      <c r="N239">
        <f t="shared" si="31"/>
        <v>-6.6666666666666596E-2</v>
      </c>
      <c r="O239">
        <f t="shared" si="32"/>
        <v>0.95495495495495508</v>
      </c>
      <c r="Q239">
        <f t="shared" si="33"/>
        <v>-176.00658501171927</v>
      </c>
      <c r="R239">
        <f t="shared" si="34"/>
        <v>183.99341498828073</v>
      </c>
      <c r="W239">
        <f t="shared" si="38"/>
        <v>0.115</v>
      </c>
      <c r="X239">
        <f t="shared" si="39"/>
        <v>-1267.2724045898212</v>
      </c>
      <c r="Y239">
        <f t="shared" si="35"/>
        <v>172.72759541017876</v>
      </c>
      <c r="AA239">
        <f t="shared" si="36"/>
        <v>184.70525541017929</v>
      </c>
      <c r="AB239">
        <f t="shared" si="37"/>
        <v>184.70525541017929</v>
      </c>
    </row>
    <row r="240" spans="1:28" x14ac:dyDescent="0.25">
      <c r="A240">
        <v>58027</v>
      </c>
      <c r="B240">
        <v>-34.79</v>
      </c>
      <c r="C240">
        <v>-11.4</v>
      </c>
      <c r="D240">
        <v>2.5499999999999998</v>
      </c>
      <c r="E240">
        <v>358.64</v>
      </c>
      <c r="F240">
        <v>171</v>
      </c>
      <c r="G240">
        <v>1</v>
      </c>
      <c r="H240">
        <v>3</v>
      </c>
      <c r="I240">
        <v>5</v>
      </c>
      <c r="L240">
        <f t="shared" si="30"/>
        <v>27.113</v>
      </c>
      <c r="N240">
        <f t="shared" si="31"/>
        <v>-8.5714285714285687E-2</v>
      </c>
      <c r="O240">
        <f t="shared" si="32"/>
        <v>0.83783783783783783</v>
      </c>
      <c r="Q240">
        <f t="shared" si="33"/>
        <v>-174.15872608483321</v>
      </c>
      <c r="R240">
        <f t="shared" si="34"/>
        <v>185.84127391516679</v>
      </c>
      <c r="W240">
        <f t="shared" si="38"/>
        <v>0.11600000000000001</v>
      </c>
      <c r="X240">
        <f t="shared" si="39"/>
        <v>-1263.2367645898212</v>
      </c>
      <c r="Y240">
        <f t="shared" si="35"/>
        <v>176.76323541017882</v>
      </c>
      <c r="AA240">
        <f t="shared" si="36"/>
        <v>184.9452554101793</v>
      </c>
      <c r="AB240">
        <f t="shared" si="37"/>
        <v>184.9452554101793</v>
      </c>
    </row>
    <row r="241" spans="1:28" x14ac:dyDescent="0.25">
      <c r="A241">
        <v>58142</v>
      </c>
      <c r="B241">
        <v>-16.559999999999999</v>
      </c>
      <c r="C241">
        <v>-12</v>
      </c>
      <c r="D241">
        <v>4.3499999999999996</v>
      </c>
      <c r="E241">
        <v>358.68</v>
      </c>
      <c r="F241">
        <v>176</v>
      </c>
      <c r="G241">
        <v>1</v>
      </c>
      <c r="H241">
        <v>2</v>
      </c>
      <c r="I241">
        <v>5</v>
      </c>
      <c r="L241">
        <f t="shared" si="30"/>
        <v>27.228000000000002</v>
      </c>
      <c r="N241">
        <f t="shared" si="31"/>
        <v>-0.12380952380952376</v>
      </c>
      <c r="O241">
        <f t="shared" si="32"/>
        <v>0.94594594594594605</v>
      </c>
      <c r="Q241">
        <f t="shared" si="33"/>
        <v>-172.54326586700336</v>
      </c>
      <c r="R241">
        <f t="shared" si="34"/>
        <v>187.45673413299664</v>
      </c>
      <c r="W241">
        <f t="shared" si="38"/>
        <v>0.115</v>
      </c>
      <c r="X241">
        <f t="shared" si="39"/>
        <v>-1261.3323645898213</v>
      </c>
      <c r="Y241">
        <f t="shared" si="35"/>
        <v>178.66763541017872</v>
      </c>
      <c r="AA241">
        <f t="shared" si="36"/>
        <v>184.90525541017928</v>
      </c>
      <c r="AB241">
        <f t="shared" si="37"/>
        <v>184.90525541017928</v>
      </c>
    </row>
    <row r="242" spans="1:28" x14ac:dyDescent="0.25">
      <c r="A242">
        <v>58258</v>
      </c>
      <c r="B242">
        <v>-6.4</v>
      </c>
      <c r="C242">
        <v>-14.25</v>
      </c>
      <c r="D242">
        <v>3.6</v>
      </c>
      <c r="E242">
        <v>358.69</v>
      </c>
      <c r="F242">
        <v>178</v>
      </c>
      <c r="G242">
        <v>1</v>
      </c>
      <c r="H242">
        <v>3</v>
      </c>
      <c r="I242">
        <v>5</v>
      </c>
      <c r="L242">
        <f t="shared" si="30"/>
        <v>27.344000000000001</v>
      </c>
      <c r="N242">
        <f t="shared" si="31"/>
        <v>-0.26666666666666661</v>
      </c>
      <c r="O242">
        <f t="shared" si="32"/>
        <v>0.90090090090090102</v>
      </c>
      <c r="Q242">
        <f t="shared" si="33"/>
        <v>-163.51124629410873</v>
      </c>
      <c r="R242">
        <f t="shared" si="34"/>
        <v>196.48875370589127</v>
      </c>
      <c r="W242">
        <f t="shared" si="38"/>
        <v>0.11600000000000001</v>
      </c>
      <c r="X242">
        <f t="shared" si="39"/>
        <v>-1260.5899645898212</v>
      </c>
      <c r="Y242">
        <f t="shared" si="35"/>
        <v>179.41003541017881</v>
      </c>
      <c r="AA242">
        <f t="shared" si="36"/>
        <v>184.89525541017929</v>
      </c>
      <c r="AB242">
        <f t="shared" si="37"/>
        <v>184.89525541017929</v>
      </c>
    </row>
    <row r="243" spans="1:28" x14ac:dyDescent="0.25">
      <c r="A243">
        <v>58373</v>
      </c>
      <c r="B243">
        <v>2.14</v>
      </c>
      <c r="C243">
        <v>-12.9</v>
      </c>
      <c r="D243">
        <v>4.8</v>
      </c>
      <c r="E243">
        <v>358.71</v>
      </c>
      <c r="F243">
        <v>181</v>
      </c>
      <c r="G243">
        <v>1</v>
      </c>
      <c r="H243">
        <v>3</v>
      </c>
      <c r="I243">
        <v>5</v>
      </c>
      <c r="L243">
        <f t="shared" si="30"/>
        <v>27.459</v>
      </c>
      <c r="N243">
        <f t="shared" si="31"/>
        <v>-0.18095238095238092</v>
      </c>
      <c r="O243">
        <f t="shared" si="32"/>
        <v>0.97297297297297303</v>
      </c>
      <c r="Q243">
        <f t="shared" si="33"/>
        <v>-169.46456412212311</v>
      </c>
      <c r="R243">
        <f t="shared" si="34"/>
        <v>190.53543587787689</v>
      </c>
      <c r="W243">
        <f t="shared" si="38"/>
        <v>0.115</v>
      </c>
      <c r="X243">
        <f t="shared" si="39"/>
        <v>-1260.8360645898213</v>
      </c>
      <c r="Y243">
        <f t="shared" si="35"/>
        <v>179.16393541017874</v>
      </c>
      <c r="AA243">
        <f t="shared" si="36"/>
        <v>184.87525541017931</v>
      </c>
      <c r="AB243">
        <f t="shared" si="37"/>
        <v>184.87525541017931</v>
      </c>
    </row>
    <row r="244" spans="1:28" x14ac:dyDescent="0.25">
      <c r="A244">
        <v>58486</v>
      </c>
      <c r="B244">
        <v>11.27</v>
      </c>
      <c r="C244">
        <v>-11.85</v>
      </c>
      <c r="D244">
        <v>4.2</v>
      </c>
      <c r="E244">
        <v>358.73</v>
      </c>
      <c r="F244">
        <v>184</v>
      </c>
      <c r="G244">
        <v>1</v>
      </c>
      <c r="H244">
        <v>3</v>
      </c>
      <c r="I244">
        <v>5</v>
      </c>
      <c r="L244">
        <f t="shared" si="30"/>
        <v>27.571999999999999</v>
      </c>
      <c r="N244">
        <f t="shared" si="31"/>
        <v>-0.11428571428571421</v>
      </c>
      <c r="O244">
        <f t="shared" si="32"/>
        <v>0.93693693693693714</v>
      </c>
      <c r="Q244">
        <f t="shared" si="33"/>
        <v>-173.04552937245728</v>
      </c>
      <c r="R244">
        <f t="shared" si="34"/>
        <v>186.95447062754272</v>
      </c>
      <c r="W244">
        <f t="shared" si="38"/>
        <v>0.113</v>
      </c>
      <c r="X244">
        <f t="shared" si="39"/>
        <v>-1262.1095745898212</v>
      </c>
      <c r="Y244">
        <f t="shared" si="35"/>
        <v>177.89042541017875</v>
      </c>
      <c r="AA244">
        <f t="shared" si="36"/>
        <v>184.85525541017927</v>
      </c>
      <c r="AB244">
        <f t="shared" si="37"/>
        <v>184.85525541017927</v>
      </c>
    </row>
    <row r="245" spans="1:28" x14ac:dyDescent="0.25">
      <c r="A245">
        <v>58601</v>
      </c>
      <c r="B245">
        <v>11.63</v>
      </c>
      <c r="C245">
        <v>-13.8</v>
      </c>
      <c r="D245">
        <v>3.6</v>
      </c>
      <c r="E245">
        <v>358.73</v>
      </c>
      <c r="F245">
        <v>183</v>
      </c>
      <c r="G245">
        <v>1</v>
      </c>
      <c r="H245">
        <v>2</v>
      </c>
      <c r="I245">
        <v>5</v>
      </c>
      <c r="L245">
        <f t="shared" si="30"/>
        <v>27.687000000000001</v>
      </c>
      <c r="N245">
        <f t="shared" si="31"/>
        <v>-0.23809523809523808</v>
      </c>
      <c r="O245">
        <f t="shared" si="32"/>
        <v>0.90090090090090102</v>
      </c>
      <c r="Q245">
        <f t="shared" si="33"/>
        <v>-165.19601984372954</v>
      </c>
      <c r="R245">
        <f t="shared" si="34"/>
        <v>194.80398015627046</v>
      </c>
      <c r="W245">
        <f t="shared" si="38"/>
        <v>0.115</v>
      </c>
      <c r="X245">
        <f t="shared" si="39"/>
        <v>-1263.4470245898212</v>
      </c>
      <c r="Y245">
        <f t="shared" si="35"/>
        <v>176.55297541017876</v>
      </c>
      <c r="AA245">
        <f t="shared" si="36"/>
        <v>184.85525541017927</v>
      </c>
      <c r="AB245">
        <f t="shared" si="37"/>
        <v>184.85525541017927</v>
      </c>
    </row>
    <row r="246" spans="1:28" x14ac:dyDescent="0.25">
      <c r="A246">
        <v>58715</v>
      </c>
      <c r="B246">
        <v>13.57</v>
      </c>
      <c r="C246">
        <v>-13.35</v>
      </c>
      <c r="D246">
        <v>4.2</v>
      </c>
      <c r="E246">
        <v>358.69</v>
      </c>
      <c r="F246">
        <v>178</v>
      </c>
      <c r="G246">
        <v>1</v>
      </c>
      <c r="H246">
        <v>3</v>
      </c>
      <c r="I246">
        <v>5</v>
      </c>
      <c r="L246">
        <f t="shared" si="30"/>
        <v>27.800999999999998</v>
      </c>
      <c r="N246">
        <f t="shared" si="31"/>
        <v>-0.20952380952380945</v>
      </c>
      <c r="O246">
        <f t="shared" si="32"/>
        <v>0.93693693693693714</v>
      </c>
      <c r="Q246">
        <f t="shared" si="33"/>
        <v>-167.39454915121919</v>
      </c>
      <c r="R246">
        <f t="shared" si="34"/>
        <v>192.60545084878081</v>
      </c>
      <c r="W246">
        <f t="shared" si="38"/>
        <v>0.114</v>
      </c>
      <c r="X246">
        <f t="shared" si="39"/>
        <v>-1264.9940045898213</v>
      </c>
      <c r="Y246">
        <f t="shared" si="35"/>
        <v>175.00599541017868</v>
      </c>
      <c r="AA246">
        <f t="shared" si="36"/>
        <v>184.89525541017929</v>
      </c>
      <c r="AB246">
        <f t="shared" si="37"/>
        <v>184.89525541017929</v>
      </c>
    </row>
    <row r="247" spans="1:28" x14ac:dyDescent="0.25">
      <c r="A247">
        <v>58830</v>
      </c>
      <c r="B247">
        <v>14.63</v>
      </c>
      <c r="C247">
        <v>-12.9</v>
      </c>
      <c r="D247">
        <v>3.75</v>
      </c>
      <c r="E247">
        <v>358.99</v>
      </c>
      <c r="F247">
        <v>174</v>
      </c>
      <c r="G247">
        <v>2</v>
      </c>
      <c r="H247">
        <v>3</v>
      </c>
      <c r="I247">
        <v>5</v>
      </c>
      <c r="L247">
        <f t="shared" si="30"/>
        <v>27.916</v>
      </c>
      <c r="N247">
        <f t="shared" si="31"/>
        <v>-0.18095238095238092</v>
      </c>
      <c r="O247">
        <f t="shared" si="32"/>
        <v>0.90990990990991005</v>
      </c>
      <c r="Q247">
        <f t="shared" si="33"/>
        <v>-168.75242007456455</v>
      </c>
      <c r="R247">
        <f t="shared" si="34"/>
        <v>191.24757992543545</v>
      </c>
      <c r="W247">
        <f t="shared" si="38"/>
        <v>0.115</v>
      </c>
      <c r="X247">
        <f t="shared" si="39"/>
        <v>-1266.6764545898213</v>
      </c>
      <c r="Y247">
        <f t="shared" si="35"/>
        <v>173.32354541017867</v>
      </c>
      <c r="AA247">
        <f t="shared" si="36"/>
        <v>184.59525541017928</v>
      </c>
      <c r="AB247">
        <f t="shared" si="37"/>
        <v>184.59525541017928</v>
      </c>
    </row>
    <row r="248" spans="1:28" x14ac:dyDescent="0.25">
      <c r="A248">
        <v>58945</v>
      </c>
      <c r="B248">
        <v>8.7200000000000006</v>
      </c>
      <c r="C248">
        <v>-12.9</v>
      </c>
      <c r="D248">
        <v>2.25</v>
      </c>
      <c r="E248">
        <v>358.96</v>
      </c>
      <c r="F248">
        <v>168</v>
      </c>
      <c r="G248">
        <v>2</v>
      </c>
      <c r="H248">
        <v>3</v>
      </c>
      <c r="I248">
        <v>5</v>
      </c>
      <c r="L248">
        <f t="shared" si="30"/>
        <v>28.030999999999999</v>
      </c>
      <c r="N248">
        <f t="shared" si="31"/>
        <v>-0.18095238095238092</v>
      </c>
      <c r="O248">
        <f t="shared" si="32"/>
        <v>0.81981981981981988</v>
      </c>
      <c r="Q248">
        <f t="shared" si="33"/>
        <v>-167.55312228452451</v>
      </c>
      <c r="R248">
        <f t="shared" si="34"/>
        <v>192.44687771547549</v>
      </c>
      <c r="W248">
        <f t="shared" si="38"/>
        <v>0.115</v>
      </c>
      <c r="X248">
        <f t="shared" si="39"/>
        <v>-1267.6792545898213</v>
      </c>
      <c r="Y248">
        <f t="shared" si="35"/>
        <v>172.32074541017869</v>
      </c>
      <c r="AA248">
        <f t="shared" si="36"/>
        <v>184.62525541017931</v>
      </c>
      <c r="AB248">
        <f t="shared" si="37"/>
        <v>184.62525541017931</v>
      </c>
    </row>
    <row r="249" spans="1:28" x14ac:dyDescent="0.25">
      <c r="A249">
        <v>59058</v>
      </c>
      <c r="B249">
        <v>5.69</v>
      </c>
      <c r="C249">
        <v>-12.15</v>
      </c>
      <c r="D249">
        <v>4.2</v>
      </c>
      <c r="E249">
        <v>358.94</v>
      </c>
      <c r="F249">
        <v>165</v>
      </c>
      <c r="G249">
        <v>2</v>
      </c>
      <c r="H249">
        <v>3</v>
      </c>
      <c r="I249">
        <v>5</v>
      </c>
      <c r="L249">
        <f t="shared" si="30"/>
        <v>28.143999999999998</v>
      </c>
      <c r="N249">
        <f t="shared" si="31"/>
        <v>-0.1333333333333333</v>
      </c>
      <c r="O249">
        <f t="shared" si="32"/>
        <v>0.93693693693693714</v>
      </c>
      <c r="Q249">
        <f t="shared" si="33"/>
        <v>-171.90075158982614</v>
      </c>
      <c r="R249">
        <f t="shared" si="34"/>
        <v>188.09924841017386</v>
      </c>
      <c r="W249">
        <f t="shared" si="38"/>
        <v>0.113</v>
      </c>
      <c r="X249">
        <f t="shared" si="39"/>
        <v>-1268.3222245898214</v>
      </c>
      <c r="Y249">
        <f t="shared" si="35"/>
        <v>171.67777541017858</v>
      </c>
      <c r="AA249">
        <f t="shared" si="36"/>
        <v>184.64525541017929</v>
      </c>
      <c r="AB249">
        <f t="shared" si="37"/>
        <v>184.64525541017929</v>
      </c>
    </row>
    <row r="250" spans="1:28" x14ac:dyDescent="0.25">
      <c r="A250">
        <v>59172</v>
      </c>
      <c r="B250">
        <v>3.11</v>
      </c>
      <c r="C250">
        <v>-10.8</v>
      </c>
      <c r="D250">
        <v>3.45</v>
      </c>
      <c r="E250">
        <v>358.94</v>
      </c>
      <c r="F250">
        <v>165</v>
      </c>
      <c r="G250">
        <v>2</v>
      </c>
      <c r="H250">
        <v>3</v>
      </c>
      <c r="I250">
        <v>5</v>
      </c>
      <c r="L250">
        <f t="shared" si="30"/>
        <v>28.257999999999999</v>
      </c>
      <c r="N250">
        <f t="shared" si="31"/>
        <v>-4.7619047619047616E-2</v>
      </c>
      <c r="O250">
        <f t="shared" si="32"/>
        <v>0.89189189189189211</v>
      </c>
      <c r="Q250">
        <f t="shared" si="33"/>
        <v>-176.94381975985891</v>
      </c>
      <c r="R250">
        <f t="shared" si="34"/>
        <v>183.05618024014109</v>
      </c>
      <c r="W250">
        <f t="shared" si="38"/>
        <v>0.114</v>
      </c>
      <c r="X250">
        <f t="shared" si="39"/>
        <v>-1268.6767645898215</v>
      </c>
      <c r="Y250">
        <f t="shared" si="35"/>
        <v>171.32323541017854</v>
      </c>
      <c r="AA250">
        <f t="shared" si="36"/>
        <v>184.64525541017929</v>
      </c>
      <c r="AB250">
        <f t="shared" si="37"/>
        <v>184.64525541017929</v>
      </c>
    </row>
    <row r="251" spans="1:28" x14ac:dyDescent="0.25">
      <c r="A251">
        <v>59285</v>
      </c>
      <c r="B251">
        <v>-1.24</v>
      </c>
      <c r="C251">
        <v>-10.65</v>
      </c>
      <c r="D251">
        <v>5.0999999999999996</v>
      </c>
      <c r="E251">
        <v>358.95</v>
      </c>
      <c r="F251">
        <v>166</v>
      </c>
      <c r="G251">
        <v>2</v>
      </c>
      <c r="H251">
        <v>3</v>
      </c>
      <c r="I251">
        <v>5</v>
      </c>
      <c r="L251">
        <f t="shared" si="30"/>
        <v>28.370999999999999</v>
      </c>
      <c r="N251">
        <f t="shared" si="31"/>
        <v>-3.8095238095238071E-2</v>
      </c>
      <c r="O251">
        <f t="shared" si="32"/>
        <v>0.99099099099099108</v>
      </c>
      <c r="Q251">
        <f t="shared" si="33"/>
        <v>-177.79854491898405</v>
      </c>
      <c r="R251">
        <f t="shared" si="34"/>
        <v>182.20145508101595</v>
      </c>
      <c r="W251">
        <f t="shared" si="38"/>
        <v>0.113</v>
      </c>
      <c r="X251">
        <f t="shared" si="39"/>
        <v>-1268.5366445898214</v>
      </c>
      <c r="Y251">
        <f t="shared" si="35"/>
        <v>171.46335541017856</v>
      </c>
      <c r="AA251">
        <f t="shared" si="36"/>
        <v>184.6352554101793</v>
      </c>
      <c r="AB251">
        <f t="shared" si="37"/>
        <v>184.6352554101793</v>
      </c>
    </row>
    <row r="252" spans="1:28" x14ac:dyDescent="0.25">
      <c r="A252">
        <v>59400</v>
      </c>
      <c r="B252">
        <v>-0.85</v>
      </c>
      <c r="C252">
        <v>-11.1</v>
      </c>
      <c r="D252">
        <v>3.75</v>
      </c>
      <c r="E252">
        <v>358.6</v>
      </c>
      <c r="F252">
        <v>167</v>
      </c>
      <c r="G252">
        <v>1</v>
      </c>
      <c r="H252">
        <v>3</v>
      </c>
      <c r="I252">
        <v>5</v>
      </c>
      <c r="L252">
        <f t="shared" si="30"/>
        <v>28.486000000000001</v>
      </c>
      <c r="N252">
        <f t="shared" si="31"/>
        <v>-6.6666666666666596E-2</v>
      </c>
      <c r="O252">
        <f t="shared" si="32"/>
        <v>0.90990990990991005</v>
      </c>
      <c r="Q252">
        <f t="shared" si="33"/>
        <v>-175.80957889992612</v>
      </c>
      <c r="R252">
        <f t="shared" si="34"/>
        <v>184.19042110007388</v>
      </c>
      <c r="W252">
        <f t="shared" si="38"/>
        <v>0.115</v>
      </c>
      <c r="X252">
        <f t="shared" si="39"/>
        <v>-1268.4388945898215</v>
      </c>
      <c r="Y252">
        <f t="shared" si="35"/>
        <v>171.56110541017847</v>
      </c>
      <c r="AA252">
        <f t="shared" si="36"/>
        <v>184.98525541017926</v>
      </c>
      <c r="AB252">
        <f t="shared" si="37"/>
        <v>184.98525541017926</v>
      </c>
    </row>
    <row r="253" spans="1:28" x14ac:dyDescent="0.25">
      <c r="A253">
        <v>59514</v>
      </c>
      <c r="B253">
        <v>0.67</v>
      </c>
      <c r="C253">
        <v>-10.65</v>
      </c>
      <c r="D253">
        <v>3.6</v>
      </c>
      <c r="E253">
        <v>358.96</v>
      </c>
      <c r="F253">
        <v>168</v>
      </c>
      <c r="G253">
        <v>2</v>
      </c>
      <c r="H253">
        <v>3</v>
      </c>
      <c r="I253">
        <v>5</v>
      </c>
      <c r="L253">
        <f t="shared" si="30"/>
        <v>28.6</v>
      </c>
      <c r="N253">
        <f t="shared" si="31"/>
        <v>-3.8095238095238071E-2</v>
      </c>
      <c r="O253">
        <f t="shared" si="32"/>
        <v>0.90090090090090102</v>
      </c>
      <c r="Q253">
        <f t="shared" si="33"/>
        <v>-177.57864954099216</v>
      </c>
      <c r="R253">
        <f t="shared" si="34"/>
        <v>182.42135045900784</v>
      </c>
      <c r="W253">
        <f t="shared" si="38"/>
        <v>0.114</v>
      </c>
      <c r="X253">
        <f t="shared" si="39"/>
        <v>-1268.5152745898215</v>
      </c>
      <c r="Y253">
        <f t="shared" si="35"/>
        <v>171.4847254101785</v>
      </c>
      <c r="AA253">
        <f t="shared" si="36"/>
        <v>184.62525541017931</v>
      </c>
      <c r="AB253">
        <f t="shared" si="37"/>
        <v>184.62525541017931</v>
      </c>
    </row>
    <row r="254" spans="1:28" x14ac:dyDescent="0.25">
      <c r="A254">
        <v>59628</v>
      </c>
      <c r="B254">
        <v>1.1299999999999999</v>
      </c>
      <c r="C254">
        <v>-12</v>
      </c>
      <c r="D254">
        <v>2.5499999999999998</v>
      </c>
      <c r="E254">
        <v>358.96</v>
      </c>
      <c r="F254">
        <v>168</v>
      </c>
      <c r="G254">
        <v>2</v>
      </c>
      <c r="H254">
        <v>3</v>
      </c>
      <c r="I254">
        <v>5</v>
      </c>
      <c r="L254">
        <f t="shared" si="30"/>
        <v>28.713999999999999</v>
      </c>
      <c r="N254">
        <f t="shared" si="31"/>
        <v>-0.12380952380952376</v>
      </c>
      <c r="O254">
        <f t="shared" si="32"/>
        <v>0.83783783783783783</v>
      </c>
      <c r="Q254">
        <f t="shared" si="33"/>
        <v>-171.59408410948436</v>
      </c>
      <c r="R254">
        <f t="shared" si="34"/>
        <v>188.40591589051564</v>
      </c>
      <c r="W254">
        <f t="shared" si="38"/>
        <v>0.114</v>
      </c>
      <c r="X254">
        <f t="shared" si="39"/>
        <v>-1268.6440945898214</v>
      </c>
      <c r="Y254">
        <f t="shared" si="35"/>
        <v>171.35590541017859</v>
      </c>
      <c r="AA254">
        <f t="shared" si="36"/>
        <v>184.62525541017931</v>
      </c>
      <c r="AB254">
        <f t="shared" si="37"/>
        <v>184.62525541017931</v>
      </c>
    </row>
    <row r="255" spans="1:28" x14ac:dyDescent="0.25">
      <c r="A255">
        <v>59741</v>
      </c>
      <c r="B255">
        <v>3.91</v>
      </c>
      <c r="C255">
        <v>-11.4</v>
      </c>
      <c r="D255">
        <v>3.15</v>
      </c>
      <c r="E255">
        <v>358.95</v>
      </c>
      <c r="F255">
        <v>167</v>
      </c>
      <c r="G255">
        <v>2</v>
      </c>
      <c r="H255">
        <v>3</v>
      </c>
      <c r="I255">
        <v>5</v>
      </c>
      <c r="L255">
        <f t="shared" si="30"/>
        <v>28.827000000000002</v>
      </c>
      <c r="N255">
        <f t="shared" si="31"/>
        <v>-8.5714285714285687E-2</v>
      </c>
      <c r="O255">
        <f t="shared" si="32"/>
        <v>0.87387387387387394</v>
      </c>
      <c r="Q255">
        <f t="shared" si="33"/>
        <v>-174.39803858101396</v>
      </c>
      <c r="R255">
        <f t="shared" si="34"/>
        <v>185.60196141898604</v>
      </c>
      <c r="W255">
        <f t="shared" si="38"/>
        <v>0.113</v>
      </c>
      <c r="X255">
        <f t="shared" si="39"/>
        <v>-1269.0859245898214</v>
      </c>
      <c r="Y255">
        <f t="shared" si="35"/>
        <v>170.91407541017861</v>
      </c>
      <c r="AA255">
        <f t="shared" si="36"/>
        <v>184.6352554101793</v>
      </c>
      <c r="AB255">
        <f t="shared" si="37"/>
        <v>184.6352554101793</v>
      </c>
    </row>
    <row r="256" spans="1:28" x14ac:dyDescent="0.25">
      <c r="A256">
        <v>59855</v>
      </c>
      <c r="B256">
        <v>-0.61</v>
      </c>
      <c r="C256">
        <v>-11.1</v>
      </c>
      <c r="D256">
        <v>3.75</v>
      </c>
      <c r="E256">
        <v>358.95</v>
      </c>
      <c r="F256">
        <v>166</v>
      </c>
      <c r="G256">
        <v>2</v>
      </c>
      <c r="H256">
        <v>3</v>
      </c>
      <c r="I256">
        <v>5</v>
      </c>
      <c r="L256">
        <f t="shared" si="30"/>
        <v>28.940999999999999</v>
      </c>
      <c r="N256">
        <f t="shared" si="31"/>
        <v>-6.6666666666666596E-2</v>
      </c>
      <c r="O256">
        <f t="shared" si="32"/>
        <v>0.90990990990991005</v>
      </c>
      <c r="Q256">
        <f t="shared" si="33"/>
        <v>-175.80957889992612</v>
      </c>
      <c r="R256">
        <f t="shared" si="34"/>
        <v>184.19042110007388</v>
      </c>
      <c r="W256">
        <f t="shared" si="38"/>
        <v>0.114</v>
      </c>
      <c r="X256">
        <f t="shared" si="39"/>
        <v>-1269.0163845898214</v>
      </c>
      <c r="Y256">
        <f t="shared" si="35"/>
        <v>170.98361541017857</v>
      </c>
      <c r="AA256">
        <f t="shared" si="36"/>
        <v>184.6352554101793</v>
      </c>
      <c r="AB256">
        <f t="shared" si="37"/>
        <v>184.6352554101793</v>
      </c>
    </row>
    <row r="257" spans="1:28" x14ac:dyDescent="0.25">
      <c r="A257">
        <v>59970</v>
      </c>
      <c r="B257">
        <v>1.63</v>
      </c>
      <c r="C257">
        <v>-11.4</v>
      </c>
      <c r="D257">
        <v>4.6500000000000004</v>
      </c>
      <c r="E257">
        <v>358.94</v>
      </c>
      <c r="F257">
        <v>165</v>
      </c>
      <c r="G257">
        <v>2</v>
      </c>
      <c r="H257">
        <v>3</v>
      </c>
      <c r="I257">
        <v>5</v>
      </c>
      <c r="L257">
        <f t="shared" si="30"/>
        <v>29.056000000000001</v>
      </c>
      <c r="N257">
        <f t="shared" si="31"/>
        <v>-8.5714285714285687E-2</v>
      </c>
      <c r="O257">
        <f t="shared" si="32"/>
        <v>0.96396396396396411</v>
      </c>
      <c r="Q257">
        <f t="shared" si="33"/>
        <v>-174.91870555128148</v>
      </c>
      <c r="R257">
        <f t="shared" si="34"/>
        <v>185.08129444871852</v>
      </c>
      <c r="W257">
        <f t="shared" si="38"/>
        <v>0.115</v>
      </c>
      <c r="X257">
        <f t="shared" si="39"/>
        <v>-1269.2038345898213</v>
      </c>
      <c r="Y257">
        <f t="shared" si="35"/>
        <v>170.79616541017867</v>
      </c>
      <c r="AA257">
        <f t="shared" si="36"/>
        <v>184.64525541017929</v>
      </c>
      <c r="AB257">
        <f t="shared" si="37"/>
        <v>184.64525541017929</v>
      </c>
    </row>
    <row r="258" spans="1:28" x14ac:dyDescent="0.25">
      <c r="A258">
        <v>60083</v>
      </c>
      <c r="B258">
        <v>0.48</v>
      </c>
      <c r="C258">
        <v>-12</v>
      </c>
      <c r="D258">
        <v>3.15</v>
      </c>
      <c r="E258">
        <v>358.93</v>
      </c>
      <c r="F258">
        <v>164</v>
      </c>
      <c r="G258">
        <v>2</v>
      </c>
      <c r="H258">
        <v>3</v>
      </c>
      <c r="I258">
        <v>5</v>
      </c>
      <c r="L258">
        <f t="shared" si="30"/>
        <v>29.169</v>
      </c>
      <c r="N258">
        <f t="shared" si="31"/>
        <v>-0.12380952380952376</v>
      </c>
      <c r="O258">
        <f t="shared" si="32"/>
        <v>0.87387387387387394</v>
      </c>
      <c r="Q258">
        <f t="shared" si="33"/>
        <v>-171.93606448215488</v>
      </c>
      <c r="R258">
        <f t="shared" si="34"/>
        <v>188.06393551784512</v>
      </c>
      <c r="W258">
        <f t="shared" si="38"/>
        <v>0.113</v>
      </c>
      <c r="X258">
        <f t="shared" si="39"/>
        <v>-1269.2580745898213</v>
      </c>
      <c r="Y258">
        <f t="shared" si="35"/>
        <v>170.74192541017874</v>
      </c>
      <c r="AA258">
        <f t="shared" si="36"/>
        <v>184.65525541017928</v>
      </c>
      <c r="AB258">
        <f t="shared" si="37"/>
        <v>184.65525541017928</v>
      </c>
    </row>
    <row r="259" spans="1:28" x14ac:dyDescent="0.25">
      <c r="A259">
        <v>60197</v>
      </c>
      <c r="B259">
        <v>0.28000000000000003</v>
      </c>
      <c r="C259">
        <v>-10.65</v>
      </c>
      <c r="D259">
        <v>2.85</v>
      </c>
      <c r="E259">
        <v>358.93</v>
      </c>
      <c r="F259">
        <v>163</v>
      </c>
      <c r="G259">
        <v>2</v>
      </c>
      <c r="H259">
        <v>3</v>
      </c>
      <c r="I259">
        <v>5</v>
      </c>
      <c r="L259">
        <f t="shared" ref="L259:L316" si="40">(A259-$A$2)/1000</f>
        <v>29.283000000000001</v>
      </c>
      <c r="N259">
        <f t="shared" ref="N259:N316" si="41">(C259-$U$3)/((MAX(C:C)-MIN(C:C))/2)</f>
        <v>-3.8095238095238071E-2</v>
      </c>
      <c r="O259">
        <f t="shared" ref="O259:O316" si="42">(D259-$U$4)/((MAX(D:D)-MIN(D:D))/2)</f>
        <v>0.85585585585585588</v>
      </c>
      <c r="Q259">
        <f t="shared" ref="Q259:Q316" si="43">ATAN2(-O259,N259)*180/PI()</f>
        <v>-177.45137388877981</v>
      </c>
      <c r="R259">
        <f t="shared" ref="R259:R316" si="44">IF(Q259&lt;0,Q259+360,Q259)</f>
        <v>182.54862611122019</v>
      </c>
      <c r="W259">
        <f t="shared" si="38"/>
        <v>0.114</v>
      </c>
      <c r="X259">
        <f t="shared" si="39"/>
        <v>-1269.2899945898212</v>
      </c>
      <c r="Y259">
        <f t="shared" ref="Y259:Y316" si="45">MOD((MOD(X259,360)+360),360)</f>
        <v>170.71000541017884</v>
      </c>
      <c r="AA259">
        <f t="shared" ref="AA259:AA316" si="46">-E259+$E$2+$R$2</f>
        <v>184.65525541017928</v>
      </c>
      <c r="AB259">
        <f t="shared" ref="AB259:AB316" si="47">IF(AA259&gt;360,AA259-360,AA259)</f>
        <v>184.65525541017928</v>
      </c>
    </row>
    <row r="260" spans="1:28" x14ac:dyDescent="0.25">
      <c r="A260">
        <v>60310</v>
      </c>
      <c r="B260">
        <v>0.54</v>
      </c>
      <c r="C260">
        <v>-11.85</v>
      </c>
      <c r="D260">
        <v>3.75</v>
      </c>
      <c r="E260">
        <v>358.94</v>
      </c>
      <c r="F260">
        <v>165</v>
      </c>
      <c r="G260">
        <v>2</v>
      </c>
      <c r="H260">
        <v>3</v>
      </c>
      <c r="I260">
        <v>5</v>
      </c>
      <c r="L260">
        <f t="shared" si="40"/>
        <v>29.396000000000001</v>
      </c>
      <c r="N260">
        <f t="shared" si="41"/>
        <v>-0.11428571428571421</v>
      </c>
      <c r="O260">
        <f t="shared" si="42"/>
        <v>0.90990990990991005</v>
      </c>
      <c r="Q260">
        <f t="shared" si="43"/>
        <v>-172.841073745166</v>
      </c>
      <c r="R260">
        <f t="shared" si="44"/>
        <v>187.158926254834</v>
      </c>
      <c r="W260">
        <f t="shared" ref="W260:W316" si="48">(A260-A259)/1000</f>
        <v>0.113</v>
      </c>
      <c r="X260">
        <f t="shared" ref="X260:X316" si="49">X259-B260*W260</f>
        <v>-1269.3510145898213</v>
      </c>
      <c r="Y260">
        <f t="shared" si="45"/>
        <v>170.64898541017874</v>
      </c>
      <c r="AA260">
        <f t="shared" si="46"/>
        <v>184.64525541017929</v>
      </c>
      <c r="AB260">
        <f t="shared" si="47"/>
        <v>184.64525541017929</v>
      </c>
    </row>
    <row r="261" spans="1:28" x14ac:dyDescent="0.25">
      <c r="A261">
        <v>60424</v>
      </c>
      <c r="B261">
        <v>-0.92</v>
      </c>
      <c r="C261">
        <v>-12.45</v>
      </c>
      <c r="D261">
        <v>3.9</v>
      </c>
      <c r="E261">
        <v>358.95</v>
      </c>
      <c r="F261">
        <v>166</v>
      </c>
      <c r="G261">
        <v>2</v>
      </c>
      <c r="H261">
        <v>3</v>
      </c>
      <c r="I261">
        <v>5</v>
      </c>
      <c r="L261">
        <f t="shared" si="40"/>
        <v>29.51</v>
      </c>
      <c r="N261">
        <f t="shared" si="41"/>
        <v>-0.15238095238095228</v>
      </c>
      <c r="O261">
        <f t="shared" si="42"/>
        <v>0.91891891891891908</v>
      </c>
      <c r="Q261">
        <f t="shared" si="43"/>
        <v>-170.58453059050956</v>
      </c>
      <c r="R261">
        <f t="shared" si="44"/>
        <v>189.41546940949044</v>
      </c>
      <c r="W261">
        <f t="shared" si="48"/>
        <v>0.114</v>
      </c>
      <c r="X261">
        <f t="shared" si="49"/>
        <v>-1269.2461345898212</v>
      </c>
      <c r="Y261">
        <f t="shared" si="45"/>
        <v>170.75386541017883</v>
      </c>
      <c r="AA261">
        <f t="shared" si="46"/>
        <v>184.6352554101793</v>
      </c>
      <c r="AB261">
        <f t="shared" si="47"/>
        <v>184.6352554101793</v>
      </c>
    </row>
    <row r="262" spans="1:28" x14ac:dyDescent="0.25">
      <c r="A262">
        <v>60538</v>
      </c>
      <c r="B262">
        <v>1.88</v>
      </c>
      <c r="C262">
        <v>-10.95</v>
      </c>
      <c r="D262">
        <v>3.15</v>
      </c>
      <c r="E262">
        <v>358.93</v>
      </c>
      <c r="F262">
        <v>164</v>
      </c>
      <c r="G262">
        <v>2</v>
      </c>
      <c r="H262">
        <v>3</v>
      </c>
      <c r="I262">
        <v>5</v>
      </c>
      <c r="L262">
        <f t="shared" si="40"/>
        <v>29.623999999999999</v>
      </c>
      <c r="N262">
        <f t="shared" si="41"/>
        <v>-5.7142857142857051E-2</v>
      </c>
      <c r="O262">
        <f t="shared" si="42"/>
        <v>0.87387387387387394</v>
      </c>
      <c r="Q262">
        <f t="shared" si="43"/>
        <v>-176.25873928312444</v>
      </c>
      <c r="R262">
        <f t="shared" si="44"/>
        <v>183.74126071687556</v>
      </c>
      <c r="W262">
        <f t="shared" si="48"/>
        <v>0.114</v>
      </c>
      <c r="X262">
        <f t="shared" si="49"/>
        <v>-1269.4604545898212</v>
      </c>
      <c r="Y262">
        <f t="shared" si="45"/>
        <v>170.53954541017879</v>
      </c>
      <c r="AA262">
        <f t="shared" si="46"/>
        <v>184.65525541017928</v>
      </c>
      <c r="AB262">
        <f t="shared" si="47"/>
        <v>184.65525541017928</v>
      </c>
    </row>
    <row r="263" spans="1:28" x14ac:dyDescent="0.25">
      <c r="A263">
        <v>60652</v>
      </c>
      <c r="B263">
        <v>1.76</v>
      </c>
      <c r="C263">
        <v>-10.95</v>
      </c>
      <c r="D263">
        <v>5.0999999999999996</v>
      </c>
      <c r="E263">
        <v>358.93</v>
      </c>
      <c r="F263">
        <v>163</v>
      </c>
      <c r="G263">
        <v>2</v>
      </c>
      <c r="H263">
        <v>3</v>
      </c>
      <c r="I263">
        <v>5</v>
      </c>
      <c r="L263">
        <f t="shared" si="40"/>
        <v>29.738</v>
      </c>
      <c r="N263">
        <f t="shared" si="41"/>
        <v>-5.7142857142857051E-2</v>
      </c>
      <c r="O263">
        <f t="shared" si="42"/>
        <v>0.99099099099099108</v>
      </c>
      <c r="Q263">
        <f t="shared" si="43"/>
        <v>-176.6998457883162</v>
      </c>
      <c r="R263">
        <f t="shared" si="44"/>
        <v>183.3001542116838</v>
      </c>
      <c r="W263">
        <f t="shared" si="48"/>
        <v>0.114</v>
      </c>
      <c r="X263">
        <f t="shared" si="49"/>
        <v>-1269.6610945898212</v>
      </c>
      <c r="Y263">
        <f t="shared" si="45"/>
        <v>170.33890541017877</v>
      </c>
      <c r="AA263">
        <f t="shared" si="46"/>
        <v>184.65525541017928</v>
      </c>
      <c r="AB263">
        <f t="shared" si="47"/>
        <v>184.65525541017928</v>
      </c>
    </row>
    <row r="264" spans="1:28" x14ac:dyDescent="0.25">
      <c r="A264">
        <v>60765</v>
      </c>
      <c r="B264">
        <v>0.92</v>
      </c>
      <c r="C264">
        <v>-10.8</v>
      </c>
      <c r="D264">
        <v>4.2</v>
      </c>
      <c r="E264">
        <v>358.92</v>
      </c>
      <c r="F264">
        <v>162</v>
      </c>
      <c r="G264">
        <v>2</v>
      </c>
      <c r="H264">
        <v>3</v>
      </c>
      <c r="I264">
        <v>5</v>
      </c>
      <c r="L264">
        <f t="shared" si="40"/>
        <v>29.850999999999999</v>
      </c>
      <c r="N264">
        <f t="shared" si="41"/>
        <v>-4.7619047619047616E-2</v>
      </c>
      <c r="O264">
        <f t="shared" si="42"/>
        <v>0.93693693693693714</v>
      </c>
      <c r="Q264">
        <f t="shared" si="43"/>
        <v>-177.0904926844679</v>
      </c>
      <c r="R264">
        <f t="shared" si="44"/>
        <v>182.9095073155321</v>
      </c>
      <c r="W264">
        <f t="shared" si="48"/>
        <v>0.113</v>
      </c>
      <c r="X264">
        <f t="shared" si="49"/>
        <v>-1269.7650545898211</v>
      </c>
      <c r="Y264">
        <f t="shared" si="45"/>
        <v>170.23494541017885</v>
      </c>
      <c r="AA264">
        <f t="shared" si="46"/>
        <v>184.66525541017927</v>
      </c>
      <c r="AB264">
        <f t="shared" si="47"/>
        <v>184.66525541017927</v>
      </c>
    </row>
    <row r="265" spans="1:28" x14ac:dyDescent="0.25">
      <c r="A265">
        <v>60879</v>
      </c>
      <c r="B265">
        <v>-0.81</v>
      </c>
      <c r="C265">
        <v>-12.15</v>
      </c>
      <c r="D265">
        <v>4.2</v>
      </c>
      <c r="E265">
        <v>358.92</v>
      </c>
      <c r="F265">
        <v>162</v>
      </c>
      <c r="G265">
        <v>2</v>
      </c>
      <c r="H265">
        <v>3</v>
      </c>
      <c r="I265">
        <v>5</v>
      </c>
      <c r="L265">
        <f t="shared" si="40"/>
        <v>29.965</v>
      </c>
      <c r="N265">
        <f t="shared" si="41"/>
        <v>-0.1333333333333333</v>
      </c>
      <c r="O265">
        <f t="shared" si="42"/>
        <v>0.93693693693693714</v>
      </c>
      <c r="Q265">
        <f t="shared" si="43"/>
        <v>-171.90075158982614</v>
      </c>
      <c r="R265">
        <f t="shared" si="44"/>
        <v>188.09924841017386</v>
      </c>
      <c r="W265">
        <f t="shared" si="48"/>
        <v>0.114</v>
      </c>
      <c r="X265">
        <f t="shared" si="49"/>
        <v>-1269.6727145898212</v>
      </c>
      <c r="Y265">
        <f t="shared" si="45"/>
        <v>170.32728541017877</v>
      </c>
      <c r="AA265">
        <f t="shared" si="46"/>
        <v>184.66525541017927</v>
      </c>
      <c r="AB265">
        <f t="shared" si="47"/>
        <v>184.66525541017927</v>
      </c>
    </row>
    <row r="266" spans="1:28" x14ac:dyDescent="0.25">
      <c r="A266">
        <v>60993</v>
      </c>
      <c r="B266">
        <v>1.82</v>
      </c>
      <c r="C266">
        <v>-11.1</v>
      </c>
      <c r="D266">
        <v>4.2</v>
      </c>
      <c r="E266">
        <v>358.92</v>
      </c>
      <c r="F266">
        <v>162</v>
      </c>
      <c r="G266">
        <v>2</v>
      </c>
      <c r="H266">
        <v>3</v>
      </c>
      <c r="I266">
        <v>5</v>
      </c>
      <c r="L266">
        <f t="shared" si="40"/>
        <v>30.079000000000001</v>
      </c>
      <c r="N266">
        <f t="shared" si="41"/>
        <v>-6.6666666666666596E-2</v>
      </c>
      <c r="O266">
        <f t="shared" si="42"/>
        <v>0.93693693693693714</v>
      </c>
      <c r="Q266">
        <f t="shared" si="43"/>
        <v>-175.93004422264539</v>
      </c>
      <c r="R266">
        <f t="shared" si="44"/>
        <v>184.06995577735461</v>
      </c>
      <c r="W266">
        <f t="shared" si="48"/>
        <v>0.114</v>
      </c>
      <c r="X266">
        <f t="shared" si="49"/>
        <v>-1269.8801945898213</v>
      </c>
      <c r="Y266">
        <f t="shared" si="45"/>
        <v>170.11980541017874</v>
      </c>
      <c r="AA266">
        <f t="shared" si="46"/>
        <v>184.66525541017927</v>
      </c>
      <c r="AB266">
        <f t="shared" si="47"/>
        <v>184.66525541017927</v>
      </c>
    </row>
    <row r="267" spans="1:28" x14ac:dyDescent="0.25">
      <c r="A267">
        <v>61107</v>
      </c>
      <c r="B267">
        <v>0.44</v>
      </c>
      <c r="C267">
        <v>-10.199999999999999</v>
      </c>
      <c r="D267">
        <v>3.15</v>
      </c>
      <c r="E267">
        <v>358.92</v>
      </c>
      <c r="F267">
        <v>162</v>
      </c>
      <c r="G267">
        <v>2</v>
      </c>
      <c r="H267">
        <v>3</v>
      </c>
      <c r="I267">
        <v>5</v>
      </c>
      <c r="L267">
        <f t="shared" si="40"/>
        <v>30.193000000000001</v>
      </c>
      <c r="N267">
        <f t="shared" si="41"/>
        <v>-9.5238095238094327E-3</v>
      </c>
      <c r="O267">
        <f t="shared" si="42"/>
        <v>0.87387387387387394</v>
      </c>
      <c r="Q267">
        <f t="shared" si="43"/>
        <v>-179.3755935446018</v>
      </c>
      <c r="R267">
        <f t="shared" si="44"/>
        <v>180.6244064553982</v>
      </c>
      <c r="W267">
        <f t="shared" si="48"/>
        <v>0.114</v>
      </c>
      <c r="X267">
        <f t="shared" si="49"/>
        <v>-1269.9303545898213</v>
      </c>
      <c r="Y267">
        <f t="shared" si="45"/>
        <v>170.06964541017874</v>
      </c>
      <c r="AA267">
        <f t="shared" si="46"/>
        <v>184.66525541017927</v>
      </c>
      <c r="AB267">
        <f t="shared" si="47"/>
        <v>184.66525541017927</v>
      </c>
    </row>
    <row r="268" spans="1:28" x14ac:dyDescent="0.25">
      <c r="A268">
        <v>61221</v>
      </c>
      <c r="B268">
        <v>2.34</v>
      </c>
      <c r="C268">
        <v>-11.4</v>
      </c>
      <c r="D268">
        <v>4.3499999999999996</v>
      </c>
      <c r="E268">
        <v>358.92</v>
      </c>
      <c r="F268">
        <v>162</v>
      </c>
      <c r="G268">
        <v>2</v>
      </c>
      <c r="H268">
        <v>3</v>
      </c>
      <c r="I268">
        <v>5</v>
      </c>
      <c r="L268">
        <f t="shared" si="40"/>
        <v>30.306999999999999</v>
      </c>
      <c r="N268">
        <f t="shared" si="41"/>
        <v>-8.5714285714285687E-2</v>
      </c>
      <c r="O268">
        <f t="shared" si="42"/>
        <v>0.94594594594594605</v>
      </c>
      <c r="Q268">
        <f t="shared" si="43"/>
        <v>-174.82244015684864</v>
      </c>
      <c r="R268">
        <f t="shared" si="44"/>
        <v>185.17755984315136</v>
      </c>
      <c r="W268">
        <f t="shared" si="48"/>
        <v>0.114</v>
      </c>
      <c r="X268">
        <f t="shared" si="49"/>
        <v>-1270.1971145898212</v>
      </c>
      <c r="Y268">
        <f t="shared" si="45"/>
        <v>169.80288541017876</v>
      </c>
      <c r="AA268">
        <f t="shared" si="46"/>
        <v>184.66525541017927</v>
      </c>
      <c r="AB268">
        <f t="shared" si="47"/>
        <v>184.66525541017927</v>
      </c>
    </row>
    <row r="269" spans="1:28" x14ac:dyDescent="0.25">
      <c r="A269">
        <v>61334</v>
      </c>
      <c r="B269">
        <v>2.71</v>
      </c>
      <c r="C269">
        <v>-10.65</v>
      </c>
      <c r="D269">
        <v>4.3499999999999996</v>
      </c>
      <c r="E269">
        <v>358.92</v>
      </c>
      <c r="F269">
        <v>162</v>
      </c>
      <c r="G269">
        <v>2</v>
      </c>
      <c r="H269">
        <v>3</v>
      </c>
      <c r="I269">
        <v>5</v>
      </c>
      <c r="L269">
        <f t="shared" si="40"/>
        <v>30.42</v>
      </c>
      <c r="N269">
        <f t="shared" si="41"/>
        <v>-3.8095238095238071E-2</v>
      </c>
      <c r="O269">
        <f t="shared" si="42"/>
        <v>0.94594594594594605</v>
      </c>
      <c r="Q269">
        <f t="shared" si="43"/>
        <v>-177.69382434384542</v>
      </c>
      <c r="R269">
        <f t="shared" si="44"/>
        <v>182.30617565615458</v>
      </c>
      <c r="W269">
        <f t="shared" si="48"/>
        <v>0.113</v>
      </c>
      <c r="X269">
        <f t="shared" si="49"/>
        <v>-1270.5033445898212</v>
      </c>
      <c r="Y269">
        <f t="shared" si="45"/>
        <v>169.49665541017885</v>
      </c>
      <c r="AA269">
        <f t="shared" si="46"/>
        <v>184.66525541017927</v>
      </c>
      <c r="AB269">
        <f t="shared" si="47"/>
        <v>184.66525541017927</v>
      </c>
    </row>
    <row r="270" spans="1:28" x14ac:dyDescent="0.25">
      <c r="A270">
        <v>61448</v>
      </c>
      <c r="B270">
        <v>0.18</v>
      </c>
      <c r="C270">
        <v>-10.65</v>
      </c>
      <c r="D270">
        <v>3.15</v>
      </c>
      <c r="E270">
        <v>358.92</v>
      </c>
      <c r="F270">
        <v>162</v>
      </c>
      <c r="G270">
        <v>2</v>
      </c>
      <c r="H270">
        <v>3</v>
      </c>
      <c r="I270">
        <v>5</v>
      </c>
      <c r="L270">
        <f t="shared" si="40"/>
        <v>30.533999999999999</v>
      </c>
      <c r="N270">
        <f t="shared" si="41"/>
        <v>-3.8095238095238071E-2</v>
      </c>
      <c r="O270">
        <f t="shared" si="42"/>
        <v>0.87387387387387394</v>
      </c>
      <c r="Q270">
        <f t="shared" si="43"/>
        <v>-177.5038557161287</v>
      </c>
      <c r="R270">
        <f t="shared" si="44"/>
        <v>182.4961442838713</v>
      </c>
      <c r="W270">
        <f t="shared" si="48"/>
        <v>0.114</v>
      </c>
      <c r="X270">
        <f t="shared" si="49"/>
        <v>-1270.5238645898212</v>
      </c>
      <c r="Y270">
        <f t="shared" si="45"/>
        <v>169.47613541017881</v>
      </c>
      <c r="AA270">
        <f t="shared" si="46"/>
        <v>184.66525541017927</v>
      </c>
      <c r="AB270">
        <f t="shared" si="47"/>
        <v>184.66525541017927</v>
      </c>
    </row>
    <row r="271" spans="1:28" x14ac:dyDescent="0.25">
      <c r="A271">
        <v>61561</v>
      </c>
      <c r="B271">
        <v>-2.17</v>
      </c>
      <c r="C271">
        <v>-12.15</v>
      </c>
      <c r="D271">
        <v>4.2</v>
      </c>
      <c r="E271">
        <v>358.92</v>
      </c>
      <c r="F271">
        <v>162</v>
      </c>
      <c r="G271">
        <v>2</v>
      </c>
      <c r="H271">
        <v>3</v>
      </c>
      <c r="I271">
        <v>5</v>
      </c>
      <c r="L271">
        <f t="shared" si="40"/>
        <v>30.646999999999998</v>
      </c>
      <c r="N271">
        <f t="shared" si="41"/>
        <v>-0.1333333333333333</v>
      </c>
      <c r="O271">
        <f t="shared" si="42"/>
        <v>0.93693693693693714</v>
      </c>
      <c r="Q271">
        <f t="shared" si="43"/>
        <v>-171.90075158982614</v>
      </c>
      <c r="R271">
        <f t="shared" si="44"/>
        <v>188.09924841017386</v>
      </c>
      <c r="W271">
        <f t="shared" si="48"/>
        <v>0.113</v>
      </c>
      <c r="X271">
        <f t="shared" si="49"/>
        <v>-1270.2786545898211</v>
      </c>
      <c r="Y271">
        <f t="shared" si="45"/>
        <v>169.72134541017886</v>
      </c>
      <c r="AA271">
        <f t="shared" si="46"/>
        <v>184.66525541017927</v>
      </c>
      <c r="AB271">
        <f t="shared" si="47"/>
        <v>184.66525541017927</v>
      </c>
    </row>
    <row r="272" spans="1:28" x14ac:dyDescent="0.25">
      <c r="A272">
        <v>61676</v>
      </c>
      <c r="B272">
        <v>0.85</v>
      </c>
      <c r="C272">
        <v>-10.95</v>
      </c>
      <c r="D272">
        <v>2.85</v>
      </c>
      <c r="E272">
        <v>358.92</v>
      </c>
      <c r="F272">
        <v>162</v>
      </c>
      <c r="G272">
        <v>2</v>
      </c>
      <c r="H272">
        <v>3</v>
      </c>
      <c r="I272">
        <v>5</v>
      </c>
      <c r="L272">
        <f t="shared" si="40"/>
        <v>30.762</v>
      </c>
      <c r="N272">
        <f t="shared" si="41"/>
        <v>-5.7142857142857051E-2</v>
      </c>
      <c r="O272">
        <f t="shared" si="42"/>
        <v>0.85585585585585588</v>
      </c>
      <c r="Q272">
        <f t="shared" si="43"/>
        <v>-176.18020668163646</v>
      </c>
      <c r="R272">
        <f t="shared" si="44"/>
        <v>183.81979331836354</v>
      </c>
      <c r="W272">
        <f t="shared" si="48"/>
        <v>0.115</v>
      </c>
      <c r="X272">
        <f t="shared" si="49"/>
        <v>-1270.376404589821</v>
      </c>
      <c r="Y272">
        <f t="shared" si="45"/>
        <v>169.62359541017895</v>
      </c>
      <c r="AA272">
        <f t="shared" si="46"/>
        <v>184.66525541017927</v>
      </c>
      <c r="AB272">
        <f t="shared" si="47"/>
        <v>184.66525541017927</v>
      </c>
    </row>
    <row r="273" spans="1:28" x14ac:dyDescent="0.25">
      <c r="A273">
        <v>61789</v>
      </c>
      <c r="B273">
        <v>-1.22</v>
      </c>
      <c r="C273">
        <v>-8.6999999999999993</v>
      </c>
      <c r="D273">
        <v>4.5</v>
      </c>
      <c r="E273">
        <v>358.92</v>
      </c>
      <c r="F273">
        <v>162</v>
      </c>
      <c r="G273">
        <v>2</v>
      </c>
      <c r="H273">
        <v>3</v>
      </c>
      <c r="I273">
        <v>5</v>
      </c>
      <c r="L273">
        <f t="shared" si="40"/>
        <v>30.875</v>
      </c>
      <c r="N273">
        <f t="shared" si="41"/>
        <v>8.5714285714285798E-2</v>
      </c>
      <c r="O273">
        <f t="shared" si="42"/>
        <v>0.95495495495495508</v>
      </c>
      <c r="Q273">
        <f t="shared" si="43"/>
        <v>174.87102330687574</v>
      </c>
      <c r="R273">
        <f t="shared" si="44"/>
        <v>174.87102330687574</v>
      </c>
      <c r="W273">
        <f t="shared" si="48"/>
        <v>0.113</v>
      </c>
      <c r="X273">
        <f t="shared" si="49"/>
        <v>-1270.238544589821</v>
      </c>
      <c r="Y273">
        <f t="shared" si="45"/>
        <v>169.761455410179</v>
      </c>
      <c r="AA273">
        <f t="shared" si="46"/>
        <v>184.66525541017927</v>
      </c>
      <c r="AB273">
        <f t="shared" si="47"/>
        <v>184.66525541017927</v>
      </c>
    </row>
    <row r="274" spans="1:28" x14ac:dyDescent="0.25">
      <c r="A274">
        <v>61903</v>
      </c>
      <c r="B274">
        <v>-2</v>
      </c>
      <c r="C274">
        <v>-12.15</v>
      </c>
      <c r="D274">
        <v>5.25</v>
      </c>
      <c r="E274">
        <v>358.93</v>
      </c>
      <c r="F274">
        <v>163</v>
      </c>
      <c r="G274">
        <v>2</v>
      </c>
      <c r="H274">
        <v>3</v>
      </c>
      <c r="I274">
        <v>5</v>
      </c>
      <c r="L274">
        <f t="shared" si="40"/>
        <v>30.989000000000001</v>
      </c>
      <c r="N274">
        <f t="shared" si="41"/>
        <v>-0.1333333333333333</v>
      </c>
      <c r="O274">
        <f t="shared" si="42"/>
        <v>1</v>
      </c>
      <c r="Q274">
        <f t="shared" si="43"/>
        <v>-172.40535663140855</v>
      </c>
      <c r="R274">
        <f t="shared" si="44"/>
        <v>187.59464336859145</v>
      </c>
      <c r="W274">
        <f t="shared" si="48"/>
        <v>0.114</v>
      </c>
      <c r="X274">
        <f t="shared" si="49"/>
        <v>-1270.0105445898209</v>
      </c>
      <c r="Y274">
        <f t="shared" si="45"/>
        <v>169.98945541017906</v>
      </c>
      <c r="AA274">
        <f t="shared" si="46"/>
        <v>184.65525541017928</v>
      </c>
      <c r="AB274">
        <f t="shared" si="47"/>
        <v>184.65525541017928</v>
      </c>
    </row>
    <row r="275" spans="1:28" x14ac:dyDescent="0.25">
      <c r="A275">
        <v>62017</v>
      </c>
      <c r="B275">
        <v>1.98</v>
      </c>
      <c r="C275">
        <v>-11.55</v>
      </c>
      <c r="D275">
        <v>4.2</v>
      </c>
      <c r="E275">
        <v>358.93</v>
      </c>
      <c r="F275">
        <v>163</v>
      </c>
      <c r="G275">
        <v>2</v>
      </c>
      <c r="H275">
        <v>3</v>
      </c>
      <c r="I275">
        <v>5</v>
      </c>
      <c r="L275">
        <f t="shared" si="40"/>
        <v>31.103000000000002</v>
      </c>
      <c r="N275">
        <f t="shared" si="41"/>
        <v>-9.5238095238095233E-2</v>
      </c>
      <c r="O275">
        <f t="shared" si="42"/>
        <v>0.93693693693693714</v>
      </c>
      <c r="Q275">
        <f t="shared" si="43"/>
        <v>-174.19591369634293</v>
      </c>
      <c r="R275">
        <f t="shared" si="44"/>
        <v>185.80408630365707</v>
      </c>
      <c r="W275">
        <f t="shared" si="48"/>
        <v>0.114</v>
      </c>
      <c r="X275">
        <f t="shared" si="49"/>
        <v>-1270.2362645898208</v>
      </c>
      <c r="Y275">
        <f t="shared" si="45"/>
        <v>169.76373541017915</v>
      </c>
      <c r="AA275">
        <f t="shared" si="46"/>
        <v>184.65525541017928</v>
      </c>
      <c r="AB275">
        <f t="shared" si="47"/>
        <v>184.65525541017928</v>
      </c>
    </row>
    <row r="276" spans="1:28" x14ac:dyDescent="0.25">
      <c r="A276">
        <v>62131</v>
      </c>
      <c r="B276">
        <v>-0.08</v>
      </c>
      <c r="C276">
        <v>-11.55</v>
      </c>
      <c r="D276">
        <v>2.7</v>
      </c>
      <c r="E276">
        <v>358.92</v>
      </c>
      <c r="F276">
        <v>162</v>
      </c>
      <c r="G276">
        <v>2</v>
      </c>
      <c r="H276">
        <v>3</v>
      </c>
      <c r="I276">
        <v>5</v>
      </c>
      <c r="L276">
        <f t="shared" si="40"/>
        <v>31.216999999999999</v>
      </c>
      <c r="N276">
        <f t="shared" si="41"/>
        <v>-9.5238095238095233E-2</v>
      </c>
      <c r="O276">
        <f t="shared" si="42"/>
        <v>0.84684684684684697</v>
      </c>
      <c r="Q276">
        <f t="shared" si="43"/>
        <v>-173.58336296320985</v>
      </c>
      <c r="R276">
        <f t="shared" si="44"/>
        <v>186.41663703679015</v>
      </c>
      <c r="W276">
        <f t="shared" si="48"/>
        <v>0.114</v>
      </c>
      <c r="X276">
        <f t="shared" si="49"/>
        <v>-1270.2271445898209</v>
      </c>
      <c r="Y276">
        <f t="shared" si="45"/>
        <v>169.77285541017909</v>
      </c>
      <c r="AA276">
        <f t="shared" si="46"/>
        <v>184.66525541017927</v>
      </c>
      <c r="AB276">
        <f t="shared" si="47"/>
        <v>184.66525541017927</v>
      </c>
    </row>
    <row r="277" spans="1:28" x14ac:dyDescent="0.25">
      <c r="A277">
        <v>62246</v>
      </c>
      <c r="B277">
        <v>-2.6</v>
      </c>
      <c r="C277">
        <v>-10.8</v>
      </c>
      <c r="D277">
        <v>4.5</v>
      </c>
      <c r="E277">
        <v>358.92</v>
      </c>
      <c r="F277">
        <v>162</v>
      </c>
      <c r="G277">
        <v>2</v>
      </c>
      <c r="H277">
        <v>3</v>
      </c>
      <c r="I277">
        <v>5</v>
      </c>
      <c r="L277">
        <f t="shared" si="40"/>
        <v>31.332000000000001</v>
      </c>
      <c r="N277">
        <f t="shared" si="41"/>
        <v>-4.7619047619047616E-2</v>
      </c>
      <c r="O277">
        <f t="shared" si="42"/>
        <v>0.95495495495495508</v>
      </c>
      <c r="Q277">
        <f t="shared" si="43"/>
        <v>-177.14529737241858</v>
      </c>
      <c r="R277">
        <f t="shared" si="44"/>
        <v>182.85470262758142</v>
      </c>
      <c r="W277">
        <f t="shared" si="48"/>
        <v>0.115</v>
      </c>
      <c r="X277">
        <f t="shared" si="49"/>
        <v>-1269.9281445898209</v>
      </c>
      <c r="Y277">
        <f t="shared" si="45"/>
        <v>170.07185541017907</v>
      </c>
      <c r="AA277">
        <f t="shared" si="46"/>
        <v>184.66525541017927</v>
      </c>
      <c r="AB277">
        <f t="shared" si="47"/>
        <v>184.66525541017927</v>
      </c>
    </row>
    <row r="278" spans="1:28" x14ac:dyDescent="0.25">
      <c r="A278">
        <v>62360</v>
      </c>
      <c r="B278">
        <v>-0.21</v>
      </c>
      <c r="C278">
        <v>-12.6</v>
      </c>
      <c r="D278">
        <v>4.5</v>
      </c>
      <c r="E278">
        <v>358.92</v>
      </c>
      <c r="F278">
        <v>162</v>
      </c>
      <c r="G278">
        <v>2</v>
      </c>
      <c r="H278">
        <v>3</v>
      </c>
      <c r="I278">
        <v>5</v>
      </c>
      <c r="L278">
        <f t="shared" si="40"/>
        <v>31.446000000000002</v>
      </c>
      <c r="N278">
        <f t="shared" si="41"/>
        <v>-0.16190476190476183</v>
      </c>
      <c r="O278">
        <f t="shared" si="42"/>
        <v>0.95495495495495508</v>
      </c>
      <c r="Q278">
        <f t="shared" si="43"/>
        <v>-170.37747331241528</v>
      </c>
      <c r="R278">
        <f t="shared" si="44"/>
        <v>189.62252668758472</v>
      </c>
      <c r="W278">
        <f t="shared" si="48"/>
        <v>0.114</v>
      </c>
      <c r="X278">
        <f t="shared" si="49"/>
        <v>-1269.9042045898209</v>
      </c>
      <c r="Y278">
        <f t="shared" si="45"/>
        <v>170.09579541017911</v>
      </c>
      <c r="AA278">
        <f t="shared" si="46"/>
        <v>184.66525541017927</v>
      </c>
      <c r="AB278">
        <f t="shared" si="47"/>
        <v>184.66525541017927</v>
      </c>
    </row>
    <row r="279" spans="1:28" x14ac:dyDescent="0.25">
      <c r="A279">
        <v>62475</v>
      </c>
      <c r="B279">
        <v>3.73</v>
      </c>
      <c r="C279">
        <v>-10.050000000000001</v>
      </c>
      <c r="D279">
        <v>4.2</v>
      </c>
      <c r="E279">
        <v>358.91</v>
      </c>
      <c r="F279">
        <v>161</v>
      </c>
      <c r="G279">
        <v>2</v>
      </c>
      <c r="H279">
        <v>3</v>
      </c>
      <c r="I279">
        <v>5</v>
      </c>
      <c r="L279">
        <f t="shared" si="40"/>
        <v>31.561</v>
      </c>
      <c r="N279">
        <f t="shared" si="41"/>
        <v>0</v>
      </c>
      <c r="O279">
        <f t="shared" si="42"/>
        <v>0.93693693693693714</v>
      </c>
      <c r="Q279">
        <f t="shared" si="43"/>
        <v>180</v>
      </c>
      <c r="R279">
        <f t="shared" si="44"/>
        <v>180</v>
      </c>
      <c r="W279">
        <f t="shared" si="48"/>
        <v>0.115</v>
      </c>
      <c r="X279">
        <f t="shared" si="49"/>
        <v>-1270.3331545898209</v>
      </c>
      <c r="Y279">
        <f t="shared" si="45"/>
        <v>169.66684541017912</v>
      </c>
      <c r="AA279">
        <f t="shared" si="46"/>
        <v>184.67525541017926</v>
      </c>
      <c r="AB279">
        <f t="shared" si="47"/>
        <v>184.67525541017926</v>
      </c>
    </row>
    <row r="280" spans="1:28" x14ac:dyDescent="0.25">
      <c r="A280">
        <v>62588</v>
      </c>
      <c r="B280">
        <v>0.69</v>
      </c>
      <c r="C280">
        <v>-9.75</v>
      </c>
      <c r="D280">
        <v>4.8</v>
      </c>
      <c r="E280">
        <v>358.91</v>
      </c>
      <c r="F280">
        <v>161</v>
      </c>
      <c r="G280">
        <v>2</v>
      </c>
      <c r="H280">
        <v>3</v>
      </c>
      <c r="I280">
        <v>5</v>
      </c>
      <c r="L280">
        <f t="shared" si="40"/>
        <v>31.673999999999999</v>
      </c>
      <c r="N280">
        <f t="shared" si="41"/>
        <v>1.9047619047619094E-2</v>
      </c>
      <c r="O280">
        <f t="shared" si="42"/>
        <v>0.97297297297297303</v>
      </c>
      <c r="Q280">
        <f t="shared" si="43"/>
        <v>178.87847985033582</v>
      </c>
      <c r="R280">
        <f t="shared" si="44"/>
        <v>178.87847985033582</v>
      </c>
      <c r="W280">
        <f t="shared" si="48"/>
        <v>0.113</v>
      </c>
      <c r="X280">
        <f t="shared" si="49"/>
        <v>-1270.4111245898209</v>
      </c>
      <c r="Y280">
        <f t="shared" si="45"/>
        <v>169.58887541017907</v>
      </c>
      <c r="AA280">
        <f t="shared" si="46"/>
        <v>184.67525541017926</v>
      </c>
      <c r="AB280">
        <f t="shared" si="47"/>
        <v>184.67525541017926</v>
      </c>
    </row>
    <row r="281" spans="1:28" x14ac:dyDescent="0.25">
      <c r="A281">
        <v>62701</v>
      </c>
      <c r="B281">
        <v>0.93</v>
      </c>
      <c r="C281">
        <v>-10.65</v>
      </c>
      <c r="D281">
        <v>3.9</v>
      </c>
      <c r="E281">
        <v>358.91</v>
      </c>
      <c r="F281">
        <v>161</v>
      </c>
      <c r="G281">
        <v>2</v>
      </c>
      <c r="H281">
        <v>3</v>
      </c>
      <c r="I281">
        <v>5</v>
      </c>
      <c r="L281">
        <f t="shared" si="40"/>
        <v>31.786999999999999</v>
      </c>
      <c r="N281">
        <f t="shared" si="41"/>
        <v>-3.8095238095238071E-2</v>
      </c>
      <c r="O281">
        <f t="shared" si="42"/>
        <v>0.91891891891891908</v>
      </c>
      <c r="Q281">
        <f t="shared" si="43"/>
        <v>-177.62607214167758</v>
      </c>
      <c r="R281">
        <f t="shared" si="44"/>
        <v>182.37392785832242</v>
      </c>
      <c r="W281">
        <f t="shared" si="48"/>
        <v>0.113</v>
      </c>
      <c r="X281">
        <f t="shared" si="49"/>
        <v>-1270.5162145898209</v>
      </c>
      <c r="Y281">
        <f t="shared" si="45"/>
        <v>169.48378541017905</v>
      </c>
      <c r="AA281">
        <f t="shared" si="46"/>
        <v>184.67525541017926</v>
      </c>
      <c r="AB281">
        <f t="shared" si="47"/>
        <v>184.67525541017926</v>
      </c>
    </row>
    <row r="282" spans="1:28" x14ac:dyDescent="0.25">
      <c r="A282">
        <v>62814</v>
      </c>
      <c r="B282">
        <v>1.63</v>
      </c>
      <c r="C282">
        <v>-11.4</v>
      </c>
      <c r="D282">
        <v>4.3499999999999996</v>
      </c>
      <c r="E282">
        <v>358.91</v>
      </c>
      <c r="F282">
        <v>161</v>
      </c>
      <c r="G282">
        <v>2</v>
      </c>
      <c r="H282">
        <v>3</v>
      </c>
      <c r="I282">
        <v>5</v>
      </c>
      <c r="L282">
        <f t="shared" si="40"/>
        <v>31.9</v>
      </c>
      <c r="N282">
        <f t="shared" si="41"/>
        <v>-8.5714285714285687E-2</v>
      </c>
      <c r="O282">
        <f t="shared" si="42"/>
        <v>0.94594594594594605</v>
      </c>
      <c r="Q282">
        <f t="shared" si="43"/>
        <v>-174.82244015684864</v>
      </c>
      <c r="R282">
        <f t="shared" si="44"/>
        <v>185.17755984315136</v>
      </c>
      <c r="W282">
        <f t="shared" si="48"/>
        <v>0.113</v>
      </c>
      <c r="X282">
        <f t="shared" si="49"/>
        <v>-1270.7004045898209</v>
      </c>
      <c r="Y282">
        <f t="shared" si="45"/>
        <v>169.29959541017911</v>
      </c>
      <c r="AA282">
        <f t="shared" si="46"/>
        <v>184.67525541017926</v>
      </c>
      <c r="AB282">
        <f t="shared" si="47"/>
        <v>184.67525541017926</v>
      </c>
    </row>
    <row r="283" spans="1:28" x14ac:dyDescent="0.25">
      <c r="A283">
        <v>62928</v>
      </c>
      <c r="B283">
        <v>0.02</v>
      </c>
      <c r="C283">
        <v>-10.199999999999999</v>
      </c>
      <c r="D283">
        <v>3.6</v>
      </c>
      <c r="E283">
        <v>358.91</v>
      </c>
      <c r="F283">
        <v>161</v>
      </c>
      <c r="G283">
        <v>2</v>
      </c>
      <c r="H283">
        <v>3</v>
      </c>
      <c r="I283">
        <v>5</v>
      </c>
      <c r="L283">
        <f t="shared" si="40"/>
        <v>32.014000000000003</v>
      </c>
      <c r="N283">
        <f t="shared" si="41"/>
        <v>-9.5238095238094327E-3</v>
      </c>
      <c r="O283">
        <f t="shared" si="42"/>
        <v>0.90090090090090102</v>
      </c>
      <c r="Q283">
        <f t="shared" si="43"/>
        <v>-179.39432432120989</v>
      </c>
      <c r="R283">
        <f t="shared" si="44"/>
        <v>180.60567567879011</v>
      </c>
      <c r="W283">
        <f t="shared" si="48"/>
        <v>0.114</v>
      </c>
      <c r="X283">
        <f t="shared" si="49"/>
        <v>-1270.7026845898208</v>
      </c>
      <c r="Y283">
        <f t="shared" si="45"/>
        <v>169.29731541017918</v>
      </c>
      <c r="AA283">
        <f t="shared" si="46"/>
        <v>184.67525541017926</v>
      </c>
      <c r="AB283">
        <f t="shared" si="47"/>
        <v>184.67525541017926</v>
      </c>
    </row>
    <row r="284" spans="1:28" x14ac:dyDescent="0.25">
      <c r="A284">
        <v>63041</v>
      </c>
      <c r="B284">
        <v>3.84</v>
      </c>
      <c r="C284">
        <v>-9.9</v>
      </c>
      <c r="D284">
        <v>3.9</v>
      </c>
      <c r="E284">
        <v>358.9</v>
      </c>
      <c r="F284">
        <v>159</v>
      </c>
      <c r="G284">
        <v>2</v>
      </c>
      <c r="H284">
        <v>3</v>
      </c>
      <c r="I284">
        <v>5</v>
      </c>
      <c r="L284">
        <f t="shared" si="40"/>
        <v>32.127000000000002</v>
      </c>
      <c r="N284">
        <f t="shared" si="41"/>
        <v>9.5238095238095472E-3</v>
      </c>
      <c r="O284">
        <f t="shared" si="42"/>
        <v>0.91891891891891908</v>
      </c>
      <c r="Q284">
        <f t="shared" si="43"/>
        <v>179.40619945604416</v>
      </c>
      <c r="R284">
        <f t="shared" si="44"/>
        <v>179.40619945604416</v>
      </c>
      <c r="W284">
        <f t="shared" si="48"/>
        <v>0.113</v>
      </c>
      <c r="X284">
        <f t="shared" si="49"/>
        <v>-1271.1366045898208</v>
      </c>
      <c r="Y284">
        <f t="shared" si="45"/>
        <v>168.86339541017924</v>
      </c>
      <c r="AA284">
        <f t="shared" si="46"/>
        <v>184.68525541017931</v>
      </c>
      <c r="AB284">
        <f t="shared" si="47"/>
        <v>184.68525541017931</v>
      </c>
    </row>
    <row r="285" spans="1:28" x14ac:dyDescent="0.25">
      <c r="A285">
        <v>63154</v>
      </c>
      <c r="B285">
        <v>-0.4</v>
      </c>
      <c r="C285">
        <v>-11.4</v>
      </c>
      <c r="D285">
        <v>3.9</v>
      </c>
      <c r="E285">
        <v>358.9</v>
      </c>
      <c r="F285">
        <v>159</v>
      </c>
      <c r="G285">
        <v>2</v>
      </c>
      <c r="H285">
        <v>3</v>
      </c>
      <c r="I285">
        <v>5</v>
      </c>
      <c r="L285">
        <f t="shared" si="40"/>
        <v>32.24</v>
      </c>
      <c r="N285">
        <f t="shared" si="41"/>
        <v>-8.5714285714285687E-2</v>
      </c>
      <c r="O285">
        <f t="shared" si="42"/>
        <v>0.91891891891891908</v>
      </c>
      <c r="Q285">
        <f t="shared" si="43"/>
        <v>-174.67102326255576</v>
      </c>
      <c r="R285">
        <f t="shared" si="44"/>
        <v>185.32897673744424</v>
      </c>
      <c r="W285">
        <f t="shared" si="48"/>
        <v>0.113</v>
      </c>
      <c r="X285">
        <f t="shared" si="49"/>
        <v>-1271.0914045898207</v>
      </c>
      <c r="Y285">
        <f t="shared" si="45"/>
        <v>168.90859541017926</v>
      </c>
      <c r="AA285">
        <f t="shared" si="46"/>
        <v>184.68525541017931</v>
      </c>
      <c r="AB285">
        <f t="shared" si="47"/>
        <v>184.68525541017931</v>
      </c>
    </row>
    <row r="286" spans="1:28" x14ac:dyDescent="0.25">
      <c r="A286">
        <v>63268</v>
      </c>
      <c r="B286">
        <v>3.77</v>
      </c>
      <c r="C286">
        <v>-10.95</v>
      </c>
      <c r="D286">
        <v>3.15</v>
      </c>
      <c r="E286">
        <v>358.89</v>
      </c>
      <c r="F286">
        <v>158</v>
      </c>
      <c r="G286">
        <v>2</v>
      </c>
      <c r="H286">
        <v>3</v>
      </c>
      <c r="I286">
        <v>5</v>
      </c>
      <c r="L286">
        <f t="shared" si="40"/>
        <v>32.353999999999999</v>
      </c>
      <c r="N286">
        <f t="shared" si="41"/>
        <v>-5.7142857142857051E-2</v>
      </c>
      <c r="O286">
        <f t="shared" si="42"/>
        <v>0.87387387387387394</v>
      </c>
      <c r="Q286">
        <f t="shared" si="43"/>
        <v>-176.25873928312444</v>
      </c>
      <c r="R286">
        <f t="shared" si="44"/>
        <v>183.74126071687556</v>
      </c>
      <c r="W286">
        <f t="shared" si="48"/>
        <v>0.114</v>
      </c>
      <c r="X286">
        <f t="shared" si="49"/>
        <v>-1271.5211845898207</v>
      </c>
      <c r="Y286">
        <f t="shared" si="45"/>
        <v>168.47881541017932</v>
      </c>
      <c r="AA286">
        <f t="shared" si="46"/>
        <v>184.6952554101793</v>
      </c>
      <c r="AB286">
        <f t="shared" si="47"/>
        <v>184.6952554101793</v>
      </c>
    </row>
    <row r="287" spans="1:28" x14ac:dyDescent="0.25">
      <c r="A287">
        <v>63382</v>
      </c>
      <c r="B287">
        <v>3.47</v>
      </c>
      <c r="C287">
        <v>-11.1</v>
      </c>
      <c r="D287">
        <v>4.5</v>
      </c>
      <c r="E287">
        <v>358.88</v>
      </c>
      <c r="F287">
        <v>156</v>
      </c>
      <c r="G287">
        <v>2</v>
      </c>
      <c r="H287">
        <v>3</v>
      </c>
      <c r="I287">
        <v>5</v>
      </c>
      <c r="L287">
        <f t="shared" si="40"/>
        <v>32.468000000000004</v>
      </c>
      <c r="N287">
        <f t="shared" si="41"/>
        <v>-6.6666666666666596E-2</v>
      </c>
      <c r="O287">
        <f t="shared" si="42"/>
        <v>0.95495495495495508</v>
      </c>
      <c r="Q287">
        <f t="shared" si="43"/>
        <v>-176.00658501171927</v>
      </c>
      <c r="R287">
        <f t="shared" si="44"/>
        <v>183.99341498828073</v>
      </c>
      <c r="W287">
        <f t="shared" si="48"/>
        <v>0.114</v>
      </c>
      <c r="X287">
        <f t="shared" si="49"/>
        <v>-1271.9167645898208</v>
      </c>
      <c r="Y287">
        <f t="shared" si="45"/>
        <v>168.08323541017921</v>
      </c>
      <c r="AA287">
        <f t="shared" si="46"/>
        <v>184.70525541017929</v>
      </c>
      <c r="AB287">
        <f t="shared" si="47"/>
        <v>184.70525541017929</v>
      </c>
    </row>
    <row r="288" spans="1:28" x14ac:dyDescent="0.25">
      <c r="A288">
        <v>63496</v>
      </c>
      <c r="B288">
        <v>1.18</v>
      </c>
      <c r="C288">
        <v>-10.95</v>
      </c>
      <c r="D288">
        <v>3.15</v>
      </c>
      <c r="E288">
        <v>358.87</v>
      </c>
      <c r="F288">
        <v>155</v>
      </c>
      <c r="G288">
        <v>2</v>
      </c>
      <c r="H288">
        <v>3</v>
      </c>
      <c r="I288">
        <v>5</v>
      </c>
      <c r="L288">
        <f t="shared" si="40"/>
        <v>32.582000000000001</v>
      </c>
      <c r="N288">
        <f t="shared" si="41"/>
        <v>-5.7142857142857051E-2</v>
      </c>
      <c r="O288">
        <f t="shared" si="42"/>
        <v>0.87387387387387394</v>
      </c>
      <c r="Q288">
        <f t="shared" si="43"/>
        <v>-176.25873928312444</v>
      </c>
      <c r="R288">
        <f t="shared" si="44"/>
        <v>183.74126071687556</v>
      </c>
      <c r="W288">
        <f t="shared" si="48"/>
        <v>0.114</v>
      </c>
      <c r="X288">
        <f t="shared" si="49"/>
        <v>-1272.0512845898209</v>
      </c>
      <c r="Y288">
        <f t="shared" si="45"/>
        <v>167.94871541017915</v>
      </c>
      <c r="AA288">
        <f t="shared" si="46"/>
        <v>184.71525541017928</v>
      </c>
      <c r="AB288">
        <f t="shared" si="47"/>
        <v>184.71525541017928</v>
      </c>
    </row>
    <row r="289" spans="1:28" x14ac:dyDescent="0.25">
      <c r="A289">
        <v>63609</v>
      </c>
      <c r="B289">
        <v>-0.45</v>
      </c>
      <c r="C289">
        <v>-8.6999999999999993</v>
      </c>
      <c r="D289">
        <v>3.75</v>
      </c>
      <c r="E289">
        <v>358.85</v>
      </c>
      <c r="F289">
        <v>153</v>
      </c>
      <c r="G289">
        <v>2</v>
      </c>
      <c r="H289">
        <v>3</v>
      </c>
      <c r="I289">
        <v>5</v>
      </c>
      <c r="L289">
        <f t="shared" si="40"/>
        <v>32.695</v>
      </c>
      <c r="N289">
        <f t="shared" si="41"/>
        <v>8.5714285714285798E-2</v>
      </c>
      <c r="O289">
        <f t="shared" si="42"/>
        <v>0.90990990990991005</v>
      </c>
      <c r="Q289">
        <f t="shared" si="43"/>
        <v>174.61856936508184</v>
      </c>
      <c r="R289">
        <f t="shared" si="44"/>
        <v>174.61856936508184</v>
      </c>
      <c r="W289">
        <f t="shared" si="48"/>
        <v>0.113</v>
      </c>
      <c r="X289">
        <f t="shared" si="49"/>
        <v>-1272.0004345898208</v>
      </c>
      <c r="Y289">
        <f t="shared" si="45"/>
        <v>167.99956541017923</v>
      </c>
      <c r="AA289">
        <f t="shared" si="46"/>
        <v>184.73525541017926</v>
      </c>
      <c r="AB289">
        <f t="shared" si="47"/>
        <v>184.73525541017926</v>
      </c>
    </row>
    <row r="290" spans="1:28" x14ac:dyDescent="0.25">
      <c r="A290">
        <v>63723</v>
      </c>
      <c r="B290">
        <v>3.89</v>
      </c>
      <c r="C290">
        <v>-8.1</v>
      </c>
      <c r="D290">
        <v>3.9</v>
      </c>
      <c r="E290">
        <v>358.85</v>
      </c>
      <c r="F290">
        <v>152</v>
      </c>
      <c r="G290">
        <v>2</v>
      </c>
      <c r="H290">
        <v>3</v>
      </c>
      <c r="I290">
        <v>5</v>
      </c>
      <c r="L290">
        <f t="shared" si="40"/>
        <v>32.808999999999997</v>
      </c>
      <c r="N290">
        <f t="shared" si="41"/>
        <v>0.12380952380952388</v>
      </c>
      <c r="O290">
        <f t="shared" si="42"/>
        <v>0.91891891891891908</v>
      </c>
      <c r="Q290">
        <f t="shared" si="43"/>
        <v>172.3265266352235</v>
      </c>
      <c r="R290">
        <f t="shared" si="44"/>
        <v>172.3265266352235</v>
      </c>
      <c r="W290">
        <f t="shared" si="48"/>
        <v>0.114</v>
      </c>
      <c r="X290">
        <f t="shared" si="49"/>
        <v>-1272.4438945898207</v>
      </c>
      <c r="Y290">
        <f t="shared" si="45"/>
        <v>167.55610541017927</v>
      </c>
      <c r="AA290">
        <f t="shared" si="46"/>
        <v>184.73525541017926</v>
      </c>
      <c r="AB290">
        <f t="shared" si="47"/>
        <v>184.73525541017926</v>
      </c>
    </row>
    <row r="291" spans="1:28" x14ac:dyDescent="0.25">
      <c r="A291">
        <v>63835</v>
      </c>
      <c r="B291">
        <v>0.54</v>
      </c>
      <c r="C291">
        <v>-9.9</v>
      </c>
      <c r="D291">
        <v>4.3499999999999996</v>
      </c>
      <c r="E291">
        <v>358.85</v>
      </c>
      <c r="F291">
        <v>152</v>
      </c>
      <c r="G291">
        <v>2</v>
      </c>
      <c r="H291">
        <v>3</v>
      </c>
      <c r="I291">
        <v>5</v>
      </c>
      <c r="L291">
        <f t="shared" si="40"/>
        <v>32.920999999999999</v>
      </c>
      <c r="N291">
        <f t="shared" si="41"/>
        <v>9.5238095238095472E-3</v>
      </c>
      <c r="O291">
        <f t="shared" si="42"/>
        <v>0.94594594594594605</v>
      </c>
      <c r="Q291">
        <f t="shared" si="43"/>
        <v>179.423164022626</v>
      </c>
      <c r="R291">
        <f t="shared" si="44"/>
        <v>179.423164022626</v>
      </c>
      <c r="W291">
        <f t="shared" si="48"/>
        <v>0.112</v>
      </c>
      <c r="X291">
        <f t="shared" si="49"/>
        <v>-1272.5043745898208</v>
      </c>
      <c r="Y291">
        <f t="shared" si="45"/>
        <v>167.49562541017917</v>
      </c>
      <c r="AA291">
        <f t="shared" si="46"/>
        <v>184.73525541017926</v>
      </c>
      <c r="AB291">
        <f t="shared" si="47"/>
        <v>184.73525541017926</v>
      </c>
    </row>
    <row r="292" spans="1:28" x14ac:dyDescent="0.25">
      <c r="A292">
        <v>63948</v>
      </c>
      <c r="B292">
        <v>-3.48</v>
      </c>
      <c r="C292">
        <v>-10.65</v>
      </c>
      <c r="D292">
        <v>3.6</v>
      </c>
      <c r="E292">
        <v>358.84</v>
      </c>
      <c r="F292">
        <v>151</v>
      </c>
      <c r="G292">
        <v>2</v>
      </c>
      <c r="H292">
        <v>3</v>
      </c>
      <c r="I292">
        <v>5</v>
      </c>
      <c r="L292">
        <f t="shared" si="40"/>
        <v>33.033999999999999</v>
      </c>
      <c r="N292">
        <f t="shared" si="41"/>
        <v>-3.8095238095238071E-2</v>
      </c>
      <c r="O292">
        <f t="shared" si="42"/>
        <v>0.90090090090090102</v>
      </c>
      <c r="Q292">
        <f t="shared" si="43"/>
        <v>-177.57864954099216</v>
      </c>
      <c r="R292">
        <f t="shared" si="44"/>
        <v>182.42135045900784</v>
      </c>
      <c r="W292">
        <f t="shared" si="48"/>
        <v>0.113</v>
      </c>
      <c r="X292">
        <f t="shared" si="49"/>
        <v>-1272.1111345898207</v>
      </c>
      <c r="Y292">
        <f t="shared" si="45"/>
        <v>167.88886541017928</v>
      </c>
      <c r="AA292">
        <f t="shared" si="46"/>
        <v>184.74525541017931</v>
      </c>
      <c r="AB292">
        <f t="shared" si="47"/>
        <v>184.74525541017931</v>
      </c>
    </row>
    <row r="293" spans="1:28" x14ac:dyDescent="0.25">
      <c r="A293">
        <v>64062</v>
      </c>
      <c r="B293">
        <v>-2.31</v>
      </c>
      <c r="C293">
        <v>-10.65</v>
      </c>
      <c r="D293">
        <v>3.6</v>
      </c>
      <c r="E293">
        <v>358.85</v>
      </c>
      <c r="F293">
        <v>153</v>
      </c>
      <c r="G293">
        <v>2</v>
      </c>
      <c r="H293">
        <v>3</v>
      </c>
      <c r="I293">
        <v>5</v>
      </c>
      <c r="L293">
        <f t="shared" si="40"/>
        <v>33.148000000000003</v>
      </c>
      <c r="N293">
        <f t="shared" si="41"/>
        <v>-3.8095238095238071E-2</v>
      </c>
      <c r="O293">
        <f t="shared" si="42"/>
        <v>0.90090090090090102</v>
      </c>
      <c r="Q293">
        <f t="shared" si="43"/>
        <v>-177.57864954099216</v>
      </c>
      <c r="R293">
        <f t="shared" si="44"/>
        <v>182.42135045900784</v>
      </c>
      <c r="W293">
        <f t="shared" si="48"/>
        <v>0.114</v>
      </c>
      <c r="X293">
        <f t="shared" si="49"/>
        <v>-1271.8477945898208</v>
      </c>
      <c r="Y293">
        <f t="shared" si="45"/>
        <v>168.15220541017925</v>
      </c>
      <c r="AA293">
        <f t="shared" si="46"/>
        <v>184.73525541017926</v>
      </c>
      <c r="AB293">
        <f t="shared" si="47"/>
        <v>184.73525541017926</v>
      </c>
    </row>
    <row r="294" spans="1:28" x14ac:dyDescent="0.25">
      <c r="A294">
        <v>64177</v>
      </c>
      <c r="B294">
        <v>-5.73</v>
      </c>
      <c r="C294">
        <v>-10.8</v>
      </c>
      <c r="D294">
        <v>3.45</v>
      </c>
      <c r="E294">
        <v>358.87</v>
      </c>
      <c r="F294">
        <v>155</v>
      </c>
      <c r="G294">
        <v>2</v>
      </c>
      <c r="H294">
        <v>3</v>
      </c>
      <c r="I294">
        <v>5</v>
      </c>
      <c r="L294">
        <f t="shared" si="40"/>
        <v>33.262999999999998</v>
      </c>
      <c r="N294">
        <f t="shared" si="41"/>
        <v>-4.7619047619047616E-2</v>
      </c>
      <c r="O294">
        <f t="shared" si="42"/>
        <v>0.89189189189189211</v>
      </c>
      <c r="Q294">
        <f t="shared" si="43"/>
        <v>-176.94381975985891</v>
      </c>
      <c r="R294">
        <f t="shared" si="44"/>
        <v>183.05618024014109</v>
      </c>
      <c r="W294">
        <f t="shared" si="48"/>
        <v>0.115</v>
      </c>
      <c r="X294">
        <f t="shared" si="49"/>
        <v>-1271.1888445898207</v>
      </c>
      <c r="Y294">
        <f t="shared" si="45"/>
        <v>168.81115541017925</v>
      </c>
      <c r="AA294">
        <f t="shared" si="46"/>
        <v>184.71525541017928</v>
      </c>
      <c r="AB294">
        <f t="shared" si="47"/>
        <v>184.71525541017928</v>
      </c>
    </row>
    <row r="295" spans="1:28" x14ac:dyDescent="0.25">
      <c r="A295">
        <v>64291</v>
      </c>
      <c r="B295">
        <v>-7.51</v>
      </c>
      <c r="C295">
        <v>-9.9</v>
      </c>
      <c r="D295">
        <v>3.6</v>
      </c>
      <c r="E295">
        <v>358.88</v>
      </c>
      <c r="F295">
        <v>157</v>
      </c>
      <c r="G295">
        <v>2</v>
      </c>
      <c r="H295">
        <v>3</v>
      </c>
      <c r="I295">
        <v>5</v>
      </c>
      <c r="L295">
        <f t="shared" si="40"/>
        <v>33.377000000000002</v>
      </c>
      <c r="N295">
        <f t="shared" si="41"/>
        <v>9.5238095238095472E-3</v>
      </c>
      <c r="O295">
        <f t="shared" si="42"/>
        <v>0.90090090090090102</v>
      </c>
      <c r="Q295">
        <f t="shared" si="43"/>
        <v>179.39432432120989</v>
      </c>
      <c r="R295">
        <f t="shared" si="44"/>
        <v>179.39432432120989</v>
      </c>
      <c r="W295">
        <f t="shared" si="48"/>
        <v>0.114</v>
      </c>
      <c r="X295">
        <f t="shared" si="49"/>
        <v>-1270.3327045898207</v>
      </c>
      <c r="Y295">
        <f t="shared" si="45"/>
        <v>169.66729541017935</v>
      </c>
      <c r="AA295">
        <f t="shared" si="46"/>
        <v>184.70525541017929</v>
      </c>
      <c r="AB295">
        <f t="shared" si="47"/>
        <v>184.70525541017929</v>
      </c>
    </row>
    <row r="296" spans="1:28" x14ac:dyDescent="0.25">
      <c r="A296">
        <v>64405</v>
      </c>
      <c r="B296">
        <v>-4.84</v>
      </c>
      <c r="C296">
        <v>-9.9</v>
      </c>
      <c r="D296">
        <v>2.85</v>
      </c>
      <c r="E296">
        <v>358.89</v>
      </c>
      <c r="F296">
        <v>158</v>
      </c>
      <c r="G296">
        <v>2</v>
      </c>
      <c r="H296">
        <v>3</v>
      </c>
      <c r="I296">
        <v>5</v>
      </c>
      <c r="L296">
        <f t="shared" si="40"/>
        <v>33.491</v>
      </c>
      <c r="N296">
        <f t="shared" si="41"/>
        <v>9.5238095238095472E-3</v>
      </c>
      <c r="O296">
        <f t="shared" si="42"/>
        <v>0.85585585585585588</v>
      </c>
      <c r="Q296">
        <f t="shared" si="43"/>
        <v>179.36244921942173</v>
      </c>
      <c r="R296">
        <f t="shared" si="44"/>
        <v>179.36244921942173</v>
      </c>
      <c r="W296">
        <f t="shared" si="48"/>
        <v>0.114</v>
      </c>
      <c r="X296">
        <f t="shared" si="49"/>
        <v>-1269.7809445898206</v>
      </c>
      <c r="Y296">
        <f t="shared" si="45"/>
        <v>170.21905541017941</v>
      </c>
      <c r="AA296">
        <f t="shared" si="46"/>
        <v>184.6952554101793</v>
      </c>
      <c r="AB296">
        <f t="shared" si="47"/>
        <v>184.6952554101793</v>
      </c>
    </row>
    <row r="297" spans="1:28" x14ac:dyDescent="0.25">
      <c r="A297">
        <v>64518</v>
      </c>
      <c r="B297">
        <v>-7.82</v>
      </c>
      <c r="C297">
        <v>-11.55</v>
      </c>
      <c r="D297">
        <v>4.8</v>
      </c>
      <c r="E297">
        <v>358.91</v>
      </c>
      <c r="F297">
        <v>160</v>
      </c>
      <c r="G297">
        <v>2</v>
      </c>
      <c r="H297">
        <v>3</v>
      </c>
      <c r="I297">
        <v>5</v>
      </c>
      <c r="L297">
        <f t="shared" si="40"/>
        <v>33.603999999999999</v>
      </c>
      <c r="N297">
        <f t="shared" si="41"/>
        <v>-9.5238095238095233E-2</v>
      </c>
      <c r="O297">
        <f t="shared" si="42"/>
        <v>0.97297297297297303</v>
      </c>
      <c r="Q297">
        <f t="shared" si="43"/>
        <v>-174.40949215591007</v>
      </c>
      <c r="R297">
        <f t="shared" si="44"/>
        <v>185.59050784408993</v>
      </c>
      <c r="W297">
        <f t="shared" si="48"/>
        <v>0.113</v>
      </c>
      <c r="X297">
        <f t="shared" si="49"/>
        <v>-1268.8972845898206</v>
      </c>
      <c r="Y297">
        <f t="shared" si="45"/>
        <v>171.10271541017937</v>
      </c>
      <c r="AA297">
        <f t="shared" si="46"/>
        <v>184.67525541017926</v>
      </c>
      <c r="AB297">
        <f t="shared" si="47"/>
        <v>184.67525541017926</v>
      </c>
    </row>
    <row r="298" spans="1:28" x14ac:dyDescent="0.25">
      <c r="A298">
        <v>64633</v>
      </c>
      <c r="B298">
        <v>-9.2200000000000006</v>
      </c>
      <c r="C298">
        <v>-9.75</v>
      </c>
      <c r="D298">
        <v>3.75</v>
      </c>
      <c r="E298">
        <v>358.92</v>
      </c>
      <c r="F298">
        <v>162</v>
      </c>
      <c r="G298">
        <v>2</v>
      </c>
      <c r="H298">
        <v>3</v>
      </c>
      <c r="I298">
        <v>5</v>
      </c>
      <c r="L298">
        <f t="shared" si="40"/>
        <v>33.719000000000001</v>
      </c>
      <c r="N298">
        <f t="shared" si="41"/>
        <v>1.9047619047619094E-2</v>
      </c>
      <c r="O298">
        <f t="shared" si="42"/>
        <v>0.90990990990991005</v>
      </c>
      <c r="Q298">
        <f t="shared" si="43"/>
        <v>178.80077269503451</v>
      </c>
      <c r="R298">
        <f t="shared" si="44"/>
        <v>178.80077269503451</v>
      </c>
      <c r="W298">
        <f t="shared" si="48"/>
        <v>0.115</v>
      </c>
      <c r="X298">
        <f t="shared" si="49"/>
        <v>-1267.8369845898205</v>
      </c>
      <c r="Y298">
        <f t="shared" si="45"/>
        <v>172.16301541017947</v>
      </c>
      <c r="AA298">
        <f t="shared" si="46"/>
        <v>184.66525541017927</v>
      </c>
      <c r="AB298">
        <f t="shared" si="47"/>
        <v>184.66525541017927</v>
      </c>
    </row>
    <row r="299" spans="1:28" x14ac:dyDescent="0.25">
      <c r="A299">
        <v>64747</v>
      </c>
      <c r="B299">
        <v>-5.28</v>
      </c>
      <c r="C299">
        <v>-11.1</v>
      </c>
      <c r="D299">
        <v>5.25</v>
      </c>
      <c r="E299">
        <v>358.93</v>
      </c>
      <c r="F299">
        <v>164</v>
      </c>
      <c r="G299">
        <v>2</v>
      </c>
      <c r="H299">
        <v>3</v>
      </c>
      <c r="I299">
        <v>5</v>
      </c>
      <c r="L299">
        <f t="shared" si="40"/>
        <v>33.832999999999998</v>
      </c>
      <c r="N299">
        <f t="shared" si="41"/>
        <v>-6.6666666666666596E-2</v>
      </c>
      <c r="O299">
        <f t="shared" si="42"/>
        <v>1</v>
      </c>
      <c r="Q299">
        <f t="shared" si="43"/>
        <v>-176.18592516570965</v>
      </c>
      <c r="R299">
        <f t="shared" si="44"/>
        <v>183.81407483429035</v>
      </c>
      <c r="W299">
        <f t="shared" si="48"/>
        <v>0.114</v>
      </c>
      <c r="X299">
        <f t="shared" si="49"/>
        <v>-1267.2350645898205</v>
      </c>
      <c r="Y299">
        <f t="shared" si="45"/>
        <v>172.76493541017953</v>
      </c>
      <c r="AA299">
        <f t="shared" si="46"/>
        <v>184.65525541017928</v>
      </c>
      <c r="AB299">
        <f t="shared" si="47"/>
        <v>184.65525541017928</v>
      </c>
    </row>
    <row r="300" spans="1:28" x14ac:dyDescent="0.25">
      <c r="A300">
        <v>64861</v>
      </c>
      <c r="B300">
        <v>-5.74</v>
      </c>
      <c r="C300">
        <v>-11.55</v>
      </c>
      <c r="D300">
        <v>2.7</v>
      </c>
      <c r="E300">
        <v>358.95</v>
      </c>
      <c r="F300">
        <v>167</v>
      </c>
      <c r="G300">
        <v>2</v>
      </c>
      <c r="H300">
        <v>3</v>
      </c>
      <c r="I300">
        <v>5</v>
      </c>
      <c r="L300">
        <f t="shared" si="40"/>
        <v>33.947000000000003</v>
      </c>
      <c r="N300">
        <f t="shared" si="41"/>
        <v>-9.5238095238095233E-2</v>
      </c>
      <c r="O300">
        <f t="shared" si="42"/>
        <v>0.84684684684684697</v>
      </c>
      <c r="Q300">
        <f t="shared" si="43"/>
        <v>-173.58336296320985</v>
      </c>
      <c r="R300">
        <f t="shared" si="44"/>
        <v>186.41663703679015</v>
      </c>
      <c r="W300">
        <f t="shared" si="48"/>
        <v>0.114</v>
      </c>
      <c r="X300">
        <f t="shared" si="49"/>
        <v>-1266.5807045898205</v>
      </c>
      <c r="Y300">
        <f t="shared" si="45"/>
        <v>173.41929541017953</v>
      </c>
      <c r="AA300">
        <f t="shared" si="46"/>
        <v>184.6352554101793</v>
      </c>
      <c r="AB300">
        <f t="shared" si="47"/>
        <v>184.6352554101793</v>
      </c>
    </row>
    <row r="301" spans="1:28" x14ac:dyDescent="0.25">
      <c r="A301">
        <v>64976</v>
      </c>
      <c r="B301">
        <v>-4.37</v>
      </c>
      <c r="C301">
        <v>-11.4</v>
      </c>
      <c r="D301">
        <v>3.9</v>
      </c>
      <c r="E301">
        <v>358.94</v>
      </c>
      <c r="F301">
        <v>165</v>
      </c>
      <c r="G301">
        <v>2</v>
      </c>
      <c r="H301">
        <v>3</v>
      </c>
      <c r="I301">
        <v>5</v>
      </c>
      <c r="L301">
        <f t="shared" si="40"/>
        <v>34.061999999999998</v>
      </c>
      <c r="N301">
        <f t="shared" si="41"/>
        <v>-8.5714285714285687E-2</v>
      </c>
      <c r="O301">
        <f t="shared" si="42"/>
        <v>0.91891891891891908</v>
      </c>
      <c r="Q301">
        <f t="shared" si="43"/>
        <v>-174.67102326255576</v>
      </c>
      <c r="R301">
        <f t="shared" si="44"/>
        <v>185.32897673744424</v>
      </c>
      <c r="W301">
        <f t="shared" si="48"/>
        <v>0.115</v>
      </c>
      <c r="X301">
        <f t="shared" si="49"/>
        <v>-1266.0781545898205</v>
      </c>
      <c r="Y301">
        <f t="shared" si="45"/>
        <v>173.92184541017946</v>
      </c>
      <c r="AA301">
        <f t="shared" si="46"/>
        <v>184.64525541017929</v>
      </c>
      <c r="AB301">
        <f t="shared" si="47"/>
        <v>184.64525541017929</v>
      </c>
    </row>
    <row r="302" spans="1:28" x14ac:dyDescent="0.25">
      <c r="A302">
        <v>65090</v>
      </c>
      <c r="B302">
        <v>-6.1</v>
      </c>
      <c r="C302">
        <v>-12.75</v>
      </c>
      <c r="D302">
        <v>3.15</v>
      </c>
      <c r="E302">
        <v>358.91</v>
      </c>
      <c r="F302">
        <v>160</v>
      </c>
      <c r="G302">
        <v>2</v>
      </c>
      <c r="H302">
        <v>3</v>
      </c>
      <c r="I302">
        <v>5</v>
      </c>
      <c r="L302">
        <f t="shared" si="40"/>
        <v>34.176000000000002</v>
      </c>
      <c r="N302">
        <f t="shared" si="41"/>
        <v>-0.17142857142857137</v>
      </c>
      <c r="O302">
        <f t="shared" si="42"/>
        <v>0.87387387387387394</v>
      </c>
      <c r="Q302">
        <f t="shared" si="43"/>
        <v>-168.90117850692167</v>
      </c>
      <c r="R302">
        <f t="shared" si="44"/>
        <v>191.09882149307833</v>
      </c>
      <c r="W302">
        <f t="shared" si="48"/>
        <v>0.114</v>
      </c>
      <c r="X302">
        <f t="shared" si="49"/>
        <v>-1265.3827545898205</v>
      </c>
      <c r="Y302">
        <f t="shared" si="45"/>
        <v>174.61724541017952</v>
      </c>
      <c r="AA302">
        <f t="shared" si="46"/>
        <v>184.67525541017926</v>
      </c>
      <c r="AB302">
        <f t="shared" si="47"/>
        <v>184.67525541017926</v>
      </c>
    </row>
    <row r="303" spans="1:28" x14ac:dyDescent="0.25">
      <c r="A303">
        <v>65205</v>
      </c>
      <c r="B303">
        <v>-2.85</v>
      </c>
      <c r="C303">
        <v>-11.7</v>
      </c>
      <c r="D303">
        <v>3.9</v>
      </c>
      <c r="E303">
        <v>358.42</v>
      </c>
      <c r="F303">
        <v>147</v>
      </c>
      <c r="G303">
        <v>1</v>
      </c>
      <c r="H303">
        <v>2</v>
      </c>
      <c r="I303">
        <v>5</v>
      </c>
      <c r="L303">
        <f t="shared" si="40"/>
        <v>34.290999999999997</v>
      </c>
      <c r="N303">
        <f t="shared" si="41"/>
        <v>-0.10476190476190467</v>
      </c>
      <c r="O303">
        <f t="shared" si="42"/>
        <v>0.91891891891891908</v>
      </c>
      <c r="Q303">
        <f t="shared" si="43"/>
        <v>-173.49604106646188</v>
      </c>
      <c r="R303">
        <f t="shared" si="44"/>
        <v>186.50395893353812</v>
      </c>
      <c r="W303">
        <f t="shared" si="48"/>
        <v>0.115</v>
      </c>
      <c r="X303">
        <f t="shared" si="49"/>
        <v>-1265.0550045898206</v>
      </c>
      <c r="Y303">
        <f t="shared" si="45"/>
        <v>174.94499541017944</v>
      </c>
      <c r="AA303">
        <f t="shared" si="46"/>
        <v>185.16525541017927</v>
      </c>
      <c r="AB303">
        <f t="shared" si="47"/>
        <v>185.16525541017927</v>
      </c>
    </row>
    <row r="304" spans="1:28" x14ac:dyDescent="0.25">
      <c r="A304">
        <v>65320</v>
      </c>
      <c r="B304">
        <v>-6.32</v>
      </c>
      <c r="C304">
        <v>-12.45</v>
      </c>
      <c r="D304">
        <v>3.15</v>
      </c>
      <c r="E304">
        <v>358.65</v>
      </c>
      <c r="F304">
        <v>129</v>
      </c>
      <c r="G304">
        <v>1</v>
      </c>
      <c r="H304">
        <v>2</v>
      </c>
      <c r="I304">
        <v>4</v>
      </c>
      <c r="L304">
        <f t="shared" si="40"/>
        <v>34.405999999999999</v>
      </c>
      <c r="N304">
        <f t="shared" si="41"/>
        <v>-0.15238095238095228</v>
      </c>
      <c r="O304">
        <f t="shared" si="42"/>
        <v>0.87387387387387394</v>
      </c>
      <c r="Q304">
        <f t="shared" si="43"/>
        <v>-170.10855513260202</v>
      </c>
      <c r="R304">
        <f t="shared" si="44"/>
        <v>189.89144486739798</v>
      </c>
      <c r="W304">
        <f t="shared" si="48"/>
        <v>0.115</v>
      </c>
      <c r="X304">
        <f t="shared" si="49"/>
        <v>-1264.3282045898206</v>
      </c>
      <c r="Y304">
        <f t="shared" si="45"/>
        <v>175.67179541017936</v>
      </c>
      <c r="AA304">
        <f t="shared" si="46"/>
        <v>184.93525541017931</v>
      </c>
      <c r="AB304">
        <f t="shared" si="47"/>
        <v>184.93525541017931</v>
      </c>
    </row>
    <row r="305" spans="1:28" x14ac:dyDescent="0.25">
      <c r="A305">
        <v>65434</v>
      </c>
      <c r="B305">
        <v>-2.74</v>
      </c>
      <c r="C305">
        <v>-13.8</v>
      </c>
      <c r="D305">
        <v>2.85</v>
      </c>
      <c r="E305">
        <v>358.36</v>
      </c>
      <c r="F305">
        <v>107</v>
      </c>
      <c r="G305">
        <v>1</v>
      </c>
      <c r="H305">
        <v>2</v>
      </c>
      <c r="I305">
        <v>4</v>
      </c>
      <c r="L305">
        <f t="shared" si="40"/>
        <v>34.520000000000003</v>
      </c>
      <c r="N305">
        <f t="shared" si="41"/>
        <v>-0.23809523809523808</v>
      </c>
      <c r="O305">
        <f t="shared" si="42"/>
        <v>0.85585585585585588</v>
      </c>
      <c r="Q305">
        <f t="shared" si="43"/>
        <v>-164.45367272692096</v>
      </c>
      <c r="R305">
        <f t="shared" si="44"/>
        <v>195.54632727307904</v>
      </c>
      <c r="W305">
        <f t="shared" si="48"/>
        <v>0.114</v>
      </c>
      <c r="X305">
        <f t="shared" si="49"/>
        <v>-1264.0158445898207</v>
      </c>
      <c r="Y305">
        <f t="shared" si="45"/>
        <v>175.98415541017926</v>
      </c>
      <c r="AA305">
        <f t="shared" si="46"/>
        <v>185.22525541017927</v>
      </c>
      <c r="AB305">
        <f t="shared" si="47"/>
        <v>185.22525541017927</v>
      </c>
    </row>
    <row r="306" spans="1:28" x14ac:dyDescent="0.25">
      <c r="A306">
        <v>65549</v>
      </c>
      <c r="B306">
        <v>-4.0199999999999996</v>
      </c>
      <c r="C306">
        <v>-13.95</v>
      </c>
      <c r="D306">
        <v>2.7</v>
      </c>
      <c r="E306">
        <v>358.55</v>
      </c>
      <c r="F306">
        <v>80</v>
      </c>
      <c r="G306">
        <v>1</v>
      </c>
      <c r="H306">
        <v>1</v>
      </c>
      <c r="I306">
        <v>3</v>
      </c>
      <c r="L306">
        <f t="shared" si="40"/>
        <v>34.634999999999998</v>
      </c>
      <c r="N306">
        <f t="shared" si="41"/>
        <v>-0.24761904761904752</v>
      </c>
      <c r="O306">
        <f t="shared" si="42"/>
        <v>0.84684684684684697</v>
      </c>
      <c r="Q306">
        <f t="shared" si="43"/>
        <v>-163.70101597569953</v>
      </c>
      <c r="R306">
        <f t="shared" si="44"/>
        <v>196.29898402430047</v>
      </c>
      <c r="W306">
        <f t="shared" si="48"/>
        <v>0.115</v>
      </c>
      <c r="X306">
        <f t="shared" si="49"/>
        <v>-1263.5535445898208</v>
      </c>
      <c r="Y306">
        <f t="shared" si="45"/>
        <v>176.44645541017917</v>
      </c>
      <c r="AA306">
        <f t="shared" si="46"/>
        <v>185.03525541017927</v>
      </c>
      <c r="AB306">
        <f t="shared" si="47"/>
        <v>185.03525541017927</v>
      </c>
    </row>
    <row r="307" spans="1:28" x14ac:dyDescent="0.25">
      <c r="A307">
        <v>65662</v>
      </c>
      <c r="B307">
        <v>-4.53</v>
      </c>
      <c r="C307">
        <v>-12.9</v>
      </c>
      <c r="D307">
        <v>5.25</v>
      </c>
      <c r="E307">
        <v>356.42</v>
      </c>
      <c r="F307">
        <v>49</v>
      </c>
      <c r="G307">
        <v>0</v>
      </c>
      <c r="H307">
        <v>1</v>
      </c>
      <c r="I307">
        <v>3</v>
      </c>
      <c r="L307">
        <f t="shared" si="40"/>
        <v>34.747999999999998</v>
      </c>
      <c r="N307">
        <f t="shared" si="41"/>
        <v>-0.18095238095238092</v>
      </c>
      <c r="O307">
        <f t="shared" si="42"/>
        <v>1</v>
      </c>
      <c r="Q307">
        <f t="shared" si="43"/>
        <v>-169.7431801583036</v>
      </c>
      <c r="R307">
        <f t="shared" si="44"/>
        <v>190.2568198416964</v>
      </c>
      <c r="W307">
        <f t="shared" si="48"/>
        <v>0.113</v>
      </c>
      <c r="X307">
        <f t="shared" si="49"/>
        <v>-1263.0416545898208</v>
      </c>
      <c r="Y307">
        <f t="shared" si="45"/>
        <v>176.95834541017916</v>
      </c>
      <c r="AA307">
        <f t="shared" si="46"/>
        <v>187.16525541017927</v>
      </c>
      <c r="AB307">
        <f t="shared" si="47"/>
        <v>187.16525541017927</v>
      </c>
    </row>
    <row r="308" spans="1:28" x14ac:dyDescent="0.25">
      <c r="A308">
        <v>65776</v>
      </c>
      <c r="B308">
        <v>-4.08</v>
      </c>
      <c r="C308">
        <v>-13.95</v>
      </c>
      <c r="D308">
        <v>2.7</v>
      </c>
      <c r="E308">
        <v>345.96</v>
      </c>
      <c r="F308">
        <v>9</v>
      </c>
      <c r="G308">
        <v>0</v>
      </c>
      <c r="H308">
        <v>1</v>
      </c>
      <c r="I308">
        <v>2</v>
      </c>
      <c r="L308">
        <f t="shared" si="40"/>
        <v>34.862000000000002</v>
      </c>
      <c r="N308">
        <f t="shared" si="41"/>
        <v>-0.24761904761904752</v>
      </c>
      <c r="O308">
        <f t="shared" si="42"/>
        <v>0.84684684684684697</v>
      </c>
      <c r="Q308">
        <f t="shared" si="43"/>
        <v>-163.70101597569953</v>
      </c>
      <c r="R308">
        <f t="shared" si="44"/>
        <v>196.29898402430047</v>
      </c>
      <c r="W308">
        <f t="shared" si="48"/>
        <v>0.114</v>
      </c>
      <c r="X308">
        <f t="shared" si="49"/>
        <v>-1262.5765345898208</v>
      </c>
      <c r="Y308">
        <f t="shared" si="45"/>
        <v>177.42346541017923</v>
      </c>
      <c r="AA308">
        <f t="shared" si="46"/>
        <v>197.62525541017931</v>
      </c>
      <c r="AB308">
        <f t="shared" si="47"/>
        <v>197.62525541017931</v>
      </c>
    </row>
    <row r="309" spans="1:28" x14ac:dyDescent="0.25">
      <c r="A309">
        <v>65888</v>
      </c>
      <c r="B309">
        <v>-5.66</v>
      </c>
      <c r="C309">
        <v>-14.55</v>
      </c>
      <c r="D309">
        <v>2.1</v>
      </c>
      <c r="E309">
        <v>270</v>
      </c>
      <c r="F309">
        <v>1</v>
      </c>
      <c r="G309">
        <v>0</v>
      </c>
      <c r="H309">
        <v>1</v>
      </c>
      <c r="I309">
        <v>1</v>
      </c>
      <c r="L309">
        <f t="shared" si="40"/>
        <v>34.973999999999997</v>
      </c>
      <c r="N309">
        <f t="shared" si="41"/>
        <v>-0.2857142857142857</v>
      </c>
      <c r="O309">
        <f t="shared" si="42"/>
        <v>0.81081081081081086</v>
      </c>
      <c r="Q309">
        <f t="shared" si="43"/>
        <v>-160.58851314131644</v>
      </c>
      <c r="R309">
        <f t="shared" si="44"/>
        <v>199.41148685868356</v>
      </c>
      <c r="W309">
        <f t="shared" si="48"/>
        <v>0.112</v>
      </c>
      <c r="X309">
        <f t="shared" si="49"/>
        <v>-1261.9426145898208</v>
      </c>
      <c r="Y309">
        <f t="shared" si="45"/>
        <v>178.05738541017922</v>
      </c>
      <c r="AA309">
        <f t="shared" si="46"/>
        <v>273.58525541017929</v>
      </c>
      <c r="AB309">
        <f t="shared" si="47"/>
        <v>273.58525541017929</v>
      </c>
    </row>
    <row r="310" spans="1:28" x14ac:dyDescent="0.25">
      <c r="A310">
        <v>66001</v>
      </c>
      <c r="B310">
        <v>-5.79</v>
      </c>
      <c r="C310">
        <v>-12.9</v>
      </c>
      <c r="D310">
        <v>4.2</v>
      </c>
      <c r="E310">
        <v>180</v>
      </c>
      <c r="F310">
        <v>0</v>
      </c>
      <c r="G310">
        <v>0</v>
      </c>
      <c r="H310">
        <v>1</v>
      </c>
      <c r="I310">
        <v>0</v>
      </c>
      <c r="L310">
        <f t="shared" si="40"/>
        <v>35.087000000000003</v>
      </c>
      <c r="N310">
        <f t="shared" si="41"/>
        <v>-0.18095238095238092</v>
      </c>
      <c r="O310">
        <f t="shared" si="42"/>
        <v>0.93693693693693714</v>
      </c>
      <c r="Q310">
        <f t="shared" si="43"/>
        <v>-169.06894220456087</v>
      </c>
      <c r="R310">
        <f t="shared" si="44"/>
        <v>190.93105779543913</v>
      </c>
      <c r="W310">
        <f t="shared" si="48"/>
        <v>0.113</v>
      </c>
      <c r="X310">
        <f t="shared" si="49"/>
        <v>-1261.2883445898208</v>
      </c>
      <c r="Y310">
        <f t="shared" si="45"/>
        <v>178.71165541017922</v>
      </c>
      <c r="AA310">
        <f t="shared" si="46"/>
        <v>363.58525541017929</v>
      </c>
      <c r="AB310">
        <f t="shared" si="47"/>
        <v>3.5852554101792862</v>
      </c>
    </row>
    <row r="311" spans="1:28" x14ac:dyDescent="0.25">
      <c r="A311">
        <v>66113</v>
      </c>
      <c r="B311">
        <v>-5.66</v>
      </c>
      <c r="C311">
        <v>-13.35</v>
      </c>
      <c r="D311">
        <v>4.8</v>
      </c>
      <c r="E311">
        <v>0</v>
      </c>
      <c r="F311">
        <v>0</v>
      </c>
      <c r="G311">
        <v>0</v>
      </c>
      <c r="H311">
        <v>0</v>
      </c>
      <c r="I311">
        <v>0</v>
      </c>
      <c r="L311">
        <f t="shared" si="40"/>
        <v>35.198999999999998</v>
      </c>
      <c r="N311">
        <f t="shared" si="41"/>
        <v>-0.20952380952380945</v>
      </c>
      <c r="O311">
        <f t="shared" si="42"/>
        <v>0.97297297297297303</v>
      </c>
      <c r="Q311">
        <f t="shared" si="43"/>
        <v>-167.84728687807586</v>
      </c>
      <c r="R311">
        <f t="shared" si="44"/>
        <v>192.15271312192414</v>
      </c>
      <c r="W311">
        <f t="shared" si="48"/>
        <v>0.112</v>
      </c>
      <c r="X311">
        <f t="shared" si="49"/>
        <v>-1260.6544245898208</v>
      </c>
      <c r="Y311">
        <f t="shared" si="45"/>
        <v>179.34557541017921</v>
      </c>
      <c r="AA311">
        <f t="shared" si="46"/>
        <v>543.58525541017934</v>
      </c>
      <c r="AB311">
        <f t="shared" si="47"/>
        <v>183.58525541017934</v>
      </c>
    </row>
    <row r="312" spans="1:28" x14ac:dyDescent="0.25">
      <c r="A312">
        <v>66224</v>
      </c>
      <c r="B312">
        <v>-4.46</v>
      </c>
      <c r="C312">
        <v>-13.65</v>
      </c>
      <c r="D312">
        <v>2.7</v>
      </c>
      <c r="E312">
        <v>180</v>
      </c>
      <c r="F312">
        <v>0</v>
      </c>
      <c r="G312">
        <v>0</v>
      </c>
      <c r="H312">
        <v>1</v>
      </c>
      <c r="I312">
        <v>0</v>
      </c>
      <c r="L312">
        <f t="shared" si="40"/>
        <v>35.31</v>
      </c>
      <c r="N312">
        <f t="shared" si="41"/>
        <v>-0.22857142857142854</v>
      </c>
      <c r="O312">
        <f t="shared" si="42"/>
        <v>0.84684684684684697</v>
      </c>
      <c r="Q312">
        <f t="shared" si="43"/>
        <v>-164.89529453843323</v>
      </c>
      <c r="R312">
        <f t="shared" si="44"/>
        <v>195.10470546156677</v>
      </c>
      <c r="W312">
        <f t="shared" si="48"/>
        <v>0.111</v>
      </c>
      <c r="X312">
        <f t="shared" si="49"/>
        <v>-1260.1593645898208</v>
      </c>
      <c r="Y312">
        <f t="shared" si="45"/>
        <v>179.84063541017917</v>
      </c>
      <c r="AA312">
        <f t="shared" si="46"/>
        <v>363.58525541017929</v>
      </c>
      <c r="AB312">
        <f t="shared" si="47"/>
        <v>3.5852554101792862</v>
      </c>
    </row>
    <row r="313" spans="1:28" x14ac:dyDescent="0.25">
      <c r="A313">
        <v>66336</v>
      </c>
      <c r="B313">
        <v>-7.43</v>
      </c>
      <c r="C313">
        <v>-13.65</v>
      </c>
      <c r="D313">
        <v>3.75</v>
      </c>
      <c r="E313">
        <v>180</v>
      </c>
      <c r="F313">
        <v>0</v>
      </c>
      <c r="G313">
        <v>0</v>
      </c>
      <c r="H313">
        <v>1</v>
      </c>
      <c r="I313">
        <v>0</v>
      </c>
      <c r="L313">
        <f t="shared" si="40"/>
        <v>35.421999999999997</v>
      </c>
      <c r="N313">
        <f t="shared" si="41"/>
        <v>-0.22857142857142854</v>
      </c>
      <c r="O313">
        <f t="shared" si="42"/>
        <v>0.90990990990991005</v>
      </c>
      <c r="Q313">
        <f t="shared" si="43"/>
        <v>-165.89894232950189</v>
      </c>
      <c r="R313">
        <f t="shared" si="44"/>
        <v>194.10105767049811</v>
      </c>
      <c r="W313">
        <f t="shared" si="48"/>
        <v>0.112</v>
      </c>
      <c r="X313">
        <f t="shared" si="49"/>
        <v>-1259.3272045898209</v>
      </c>
      <c r="Y313">
        <f t="shared" si="45"/>
        <v>180.67279541017911</v>
      </c>
      <c r="AA313">
        <f t="shared" si="46"/>
        <v>363.58525541017929</v>
      </c>
      <c r="AB313">
        <f t="shared" si="47"/>
        <v>3.5852554101792862</v>
      </c>
    </row>
    <row r="314" spans="1:28" x14ac:dyDescent="0.25">
      <c r="A314">
        <v>66449</v>
      </c>
      <c r="B314">
        <v>-6.95</v>
      </c>
      <c r="C314">
        <v>-12.75</v>
      </c>
      <c r="D314">
        <v>3.6</v>
      </c>
      <c r="E314">
        <v>180</v>
      </c>
      <c r="F314">
        <v>0</v>
      </c>
      <c r="G314">
        <v>0</v>
      </c>
      <c r="H314">
        <v>1</v>
      </c>
      <c r="I314">
        <v>0</v>
      </c>
      <c r="L314">
        <f t="shared" si="40"/>
        <v>35.534999999999997</v>
      </c>
      <c r="N314">
        <f t="shared" si="41"/>
        <v>-0.17142857142857137</v>
      </c>
      <c r="O314">
        <f t="shared" si="42"/>
        <v>0.90090090090090102</v>
      </c>
      <c r="Q314">
        <f t="shared" si="43"/>
        <v>-169.22623389159065</v>
      </c>
      <c r="R314">
        <f t="shared" si="44"/>
        <v>190.77376610840935</v>
      </c>
      <c r="W314">
        <f t="shared" si="48"/>
        <v>0.113</v>
      </c>
      <c r="X314">
        <f t="shared" si="49"/>
        <v>-1258.5418545898208</v>
      </c>
      <c r="Y314">
        <f t="shared" si="45"/>
        <v>181.45814541017921</v>
      </c>
      <c r="AA314">
        <f t="shared" si="46"/>
        <v>363.58525541017929</v>
      </c>
      <c r="AB314">
        <f t="shared" si="47"/>
        <v>3.5852554101792862</v>
      </c>
    </row>
    <row r="315" spans="1:28" x14ac:dyDescent="0.25">
      <c r="A315">
        <v>66561</v>
      </c>
      <c r="B315">
        <v>-3.7</v>
      </c>
      <c r="C315">
        <v>-13.35</v>
      </c>
      <c r="D315">
        <v>4.2</v>
      </c>
      <c r="E315">
        <v>0</v>
      </c>
      <c r="F315">
        <v>0</v>
      </c>
      <c r="G315">
        <v>0</v>
      </c>
      <c r="H315">
        <v>0</v>
      </c>
      <c r="I315">
        <v>0</v>
      </c>
      <c r="L315">
        <f t="shared" si="40"/>
        <v>35.646999999999998</v>
      </c>
      <c r="N315">
        <f t="shared" si="41"/>
        <v>-0.20952380952380945</v>
      </c>
      <c r="O315">
        <f t="shared" si="42"/>
        <v>0.93693693693693714</v>
      </c>
      <c r="Q315">
        <f t="shared" si="43"/>
        <v>-167.39454915121919</v>
      </c>
      <c r="R315">
        <f t="shared" si="44"/>
        <v>192.60545084878081</v>
      </c>
      <c r="W315">
        <f t="shared" si="48"/>
        <v>0.112</v>
      </c>
      <c r="X315">
        <f t="shared" si="49"/>
        <v>-1258.1274545898209</v>
      </c>
      <c r="Y315">
        <f t="shared" si="45"/>
        <v>181.8725454101791</v>
      </c>
      <c r="AA315">
        <f t="shared" si="46"/>
        <v>543.58525541017934</v>
      </c>
      <c r="AB315">
        <f t="shared" si="47"/>
        <v>183.58525541017934</v>
      </c>
    </row>
    <row r="316" spans="1:28" x14ac:dyDescent="0.25">
      <c r="A316">
        <v>66672</v>
      </c>
      <c r="B316">
        <v>-6.18</v>
      </c>
      <c r="C316">
        <v>-13.5</v>
      </c>
      <c r="D316">
        <v>2.1</v>
      </c>
      <c r="E316">
        <v>180</v>
      </c>
      <c r="F316">
        <v>0</v>
      </c>
      <c r="G316">
        <v>0</v>
      </c>
      <c r="H316">
        <v>1</v>
      </c>
      <c r="I316">
        <v>0</v>
      </c>
      <c r="L316">
        <f t="shared" si="40"/>
        <v>35.758000000000003</v>
      </c>
      <c r="N316">
        <f t="shared" si="41"/>
        <v>-0.21904761904761899</v>
      </c>
      <c r="O316">
        <f t="shared" si="42"/>
        <v>0.81081081081081086</v>
      </c>
      <c r="Q316">
        <f t="shared" si="43"/>
        <v>-164.8819485939043</v>
      </c>
      <c r="R316">
        <f t="shared" si="44"/>
        <v>195.1180514060957</v>
      </c>
      <c r="W316">
        <f t="shared" si="48"/>
        <v>0.111</v>
      </c>
      <c r="X316">
        <f t="shared" si="49"/>
        <v>-1257.4414745898209</v>
      </c>
      <c r="Y316">
        <f t="shared" si="45"/>
        <v>182.55852541017907</v>
      </c>
      <c r="AA316">
        <f t="shared" si="46"/>
        <v>363.58525541017929</v>
      </c>
      <c r="AB316">
        <f t="shared" si="47"/>
        <v>3.5852554101792862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902C3CBC54D4FA7075784AD88F5EC" ma:contentTypeVersion="21" ma:contentTypeDescription="Create a new document." ma:contentTypeScope="" ma:versionID="c08fcfd817066be31f8f1ca0ac65db2f">
  <xsd:schema xmlns:xsd="http://www.w3.org/2001/XMLSchema" xmlns:xs="http://www.w3.org/2001/XMLSchema" xmlns:p="http://schemas.microsoft.com/office/2006/metadata/properties" xmlns:ns1="http://schemas.microsoft.com/sharepoint/v3" xmlns:ns2="7584c457-6b5a-4caa-be47-be979cbe6555" xmlns:ns3="723aa48c-73f2-40da-86b1-f1ae286477fe" targetNamespace="http://schemas.microsoft.com/office/2006/metadata/properties" ma:root="true" ma:fieldsID="795b92cbcc638951d3b8bb33cdebaea5" ns1:_="" ns2:_="" ns3:_="">
    <xsd:import namespace="http://schemas.microsoft.com/sharepoint/v3"/>
    <xsd:import namespace="7584c457-6b5a-4caa-be47-be979cbe6555"/>
    <xsd:import namespace="723aa48c-73f2-40da-86b1-f1ae286477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4c457-6b5a-4caa-be47-be979cbe6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16a427a-858a-487d-80a3-21f23792e0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3aa48c-73f2-40da-86b1-f1ae286477f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8387b12-f69f-4719-8b38-c3231d645ace}" ma:internalName="TaxCatchAll" ma:showField="CatchAllData" ma:web="723aa48c-73f2-40da-86b1-f1ae286477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23aa48c-73f2-40da-86b1-f1ae286477fe" xsi:nil="true"/>
    <lcf76f155ced4ddcb4097134ff3c332f xmlns="7584c457-6b5a-4caa-be47-be979cbe65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3AD1A0-C63E-49FE-884F-FF4B9DC077B7}"/>
</file>

<file path=customXml/itemProps2.xml><?xml version="1.0" encoding="utf-8"?>
<ds:datastoreItem xmlns:ds="http://schemas.openxmlformats.org/officeDocument/2006/customXml" ds:itemID="{87AA8557-F0F0-4EB8-84AF-487DC7483415}"/>
</file>

<file path=customXml/itemProps3.xml><?xml version="1.0" encoding="utf-8"?>
<ds:datastoreItem xmlns:ds="http://schemas.openxmlformats.org/officeDocument/2006/customXml" ds:itemID="{DB5E659D-D570-4FD4-BA0D-4705DCFB2A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data_Lab6_2025-09-29_132005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Harris</dc:creator>
  <cp:lastModifiedBy>Harris, Wyatt J Lt Col USAF USAFA DF/DFAS</cp:lastModifiedBy>
  <dcterms:created xsi:type="dcterms:W3CDTF">2025-09-30T02:56:33Z</dcterms:created>
  <dcterms:modified xsi:type="dcterms:W3CDTF">2025-09-30T19:35:16Z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0x010100E0C902C3CBC54D4FA7075784AD88F5EC</vt:lpwstr>
  </property>
</Properties>
</file>